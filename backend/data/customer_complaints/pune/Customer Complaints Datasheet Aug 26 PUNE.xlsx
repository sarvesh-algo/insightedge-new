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Old HDD DATA\IATF 16949\IATF ALL DATA\DWM\DWM 2026 - 2027\Pune\Aug 26\Aug\"/>
    </mc:Choice>
  </mc:AlternateContent>
  <xr:revisionPtr revIDLastSave="0" documentId="13_ncr:1_{6A64EF6C-1592-42BC-B9C5-0B4BEF089C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Defects" sheetId="4" state="hidden" r:id="rId2"/>
    <sheet name="Process" sheetId="3" state="hidden" r:id="rId3"/>
  </sheets>
  <externalReferences>
    <externalReference r:id="rId4"/>
  </externalReferences>
  <definedNames>
    <definedName name="_xlnm._FilterDatabase" localSheetId="2" hidden="1">Process!$A$1:$A$7</definedName>
    <definedName name="_xlnm._FilterDatabase" localSheetId="0" hidden="1">Sheet1!$A$1:$Q$3</definedName>
    <definedName name="SAPBEXdnldView" hidden="1">"XLS_4NRN7TXIMNK1GOSIU3RICXR3V"</definedName>
    <definedName name="SAPBEXsysID" hidden="1">"PP5"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I6" i="1"/>
  <c r="I5" i="1"/>
  <c r="I4" i="1"/>
  <c r="J12" i="1" l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4" i="1" l="1"/>
  <c r="J5" i="1"/>
  <c r="L5" i="1" s="1"/>
  <c r="J3" i="1"/>
  <c r="J13" i="1" l="1"/>
  <c r="L4" i="1"/>
  <c r="L3" i="1"/>
  <c r="C1" i="3" l="1" a="1"/>
  <c r="C1" i="3" s="1"/>
  <c r="C1" i="4" a="1"/>
  <c r="C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<sst xmlns="http://schemas.openxmlformats.org/spreadsheetml/2006/main" count="187" uniqueCount="147">
  <si>
    <t>Sr. No.</t>
  </si>
  <si>
    <t>Date</t>
  </si>
  <si>
    <t>Part No.</t>
  </si>
  <si>
    <t>Part Name</t>
  </si>
  <si>
    <t>Defect Description</t>
  </si>
  <si>
    <t>Process Description</t>
  </si>
  <si>
    <t>Unit Location</t>
  </si>
  <si>
    <t>Machine</t>
  </si>
  <si>
    <t>Location</t>
  </si>
  <si>
    <t>Assembly</t>
  </si>
  <si>
    <t>Logistics</t>
  </si>
  <si>
    <t>Machining</t>
  </si>
  <si>
    <t>Pressing</t>
  </si>
  <si>
    <t>Surface protection</t>
  </si>
  <si>
    <t>Welding</t>
  </si>
  <si>
    <t>Adhesion Fail</t>
  </si>
  <si>
    <t>Angle Not OK</t>
  </si>
  <si>
    <t>Bkt missing</t>
  </si>
  <si>
    <t>Blank Burr</t>
  </si>
  <si>
    <t>Blank Cut</t>
  </si>
  <si>
    <t>Blistering</t>
  </si>
  <si>
    <t>Blow Hole</t>
  </si>
  <si>
    <t>Bubble mark</t>
  </si>
  <si>
    <t>Burr</t>
  </si>
  <si>
    <t>Coating Damage</t>
  </si>
  <si>
    <t>Corner Cut</t>
  </si>
  <si>
    <t>Crack</t>
  </si>
  <si>
    <t>Crater Pipe</t>
  </si>
  <si>
    <t>Deep Spot</t>
  </si>
  <si>
    <t>Defective loose parts </t>
  </si>
  <si>
    <t xml:space="preserve">Dent </t>
  </si>
  <si>
    <t>Development Rejection </t>
  </si>
  <si>
    <t>Dimension not ok</t>
  </si>
  <si>
    <t>Excess Back Penetration</t>
  </si>
  <si>
    <t xml:space="preserve">Excess powder </t>
  </si>
  <si>
    <t xml:space="preserve">Fitment Issue    </t>
  </si>
  <si>
    <t>Forming shift</t>
  </si>
  <si>
    <t>Forming Taper/coller open</t>
  </si>
  <si>
    <t xml:space="preserve">Fouling Issue  </t>
  </si>
  <si>
    <t>Hole burr</t>
  </si>
  <si>
    <t>Hole Concentricity</t>
  </si>
  <si>
    <t xml:space="preserve">Hole Mismatch </t>
  </si>
  <si>
    <t>Hole missing</t>
  </si>
  <si>
    <t>Hole Oblong</t>
  </si>
  <si>
    <t>Hole Oversize</t>
  </si>
  <si>
    <t>Hole pull up/Oblong</t>
  </si>
  <si>
    <t>Hole shift</t>
  </si>
  <si>
    <t>Hole Undersize</t>
  </si>
  <si>
    <t>Hook Mark</t>
  </si>
  <si>
    <t>Incomplete Joint</t>
  </si>
  <si>
    <t>Lack Of Fusion</t>
  </si>
  <si>
    <t xml:space="preserve">Logistic Damage          </t>
  </si>
  <si>
    <t>Logistic not as per requirement</t>
  </si>
  <si>
    <t>Low DFT</t>
  </si>
  <si>
    <t>Machining burr</t>
  </si>
  <si>
    <t>Material fold</t>
  </si>
  <si>
    <t>Nut missing</t>
  </si>
  <si>
    <t>Nut shift/Offset</t>
  </si>
  <si>
    <t>Operation Missing</t>
  </si>
  <si>
    <t>Paint damage</t>
  </si>
  <si>
    <t>Part wrong/Taper</t>
  </si>
  <si>
    <t>Peeling</t>
  </si>
  <si>
    <t>Pin Holes</t>
  </si>
  <si>
    <t>plating low</t>
  </si>
  <si>
    <t>Poor Welding</t>
  </si>
  <si>
    <t>Porosity</t>
  </si>
  <si>
    <t>Retainer gap</t>
  </si>
  <si>
    <t xml:space="preserve">RUPD Strip Direction Wrong          </t>
  </si>
  <si>
    <t>Rusty</t>
  </si>
  <si>
    <t>Scoring</t>
  </si>
  <si>
    <t>Scratch mark</t>
  </si>
  <si>
    <t>Shabby welding</t>
  </si>
  <si>
    <t>Shearing size oversize</t>
  </si>
  <si>
    <t>Shearing size undersize</t>
  </si>
  <si>
    <t>Slot Missing</t>
  </si>
  <si>
    <t>Spot burr</t>
  </si>
  <si>
    <t>Spot missing</t>
  </si>
  <si>
    <t>Spot Open</t>
  </si>
  <si>
    <t>Step Marks In Hole</t>
  </si>
  <si>
    <t>Stud missing</t>
  </si>
  <si>
    <t>Surface roughness</t>
  </si>
  <si>
    <t>Taper Nut</t>
  </si>
  <si>
    <t>Tapping Not ok</t>
  </si>
  <si>
    <t>Thinning</t>
  </si>
  <si>
    <t>Thread damage</t>
  </si>
  <si>
    <t>Thread missing</t>
  </si>
  <si>
    <t>Trolley wheel jam</t>
  </si>
  <si>
    <t>Uncover coating</t>
  </si>
  <si>
    <t>Wall Thickness Oversize</t>
  </si>
  <si>
    <t>Wall Thickness Undersize</t>
  </si>
  <si>
    <t>Weaviness</t>
  </si>
  <si>
    <t>Weld Burn</t>
  </si>
  <si>
    <t>Welding missing</t>
  </si>
  <si>
    <t>Welding Overlapp</t>
  </si>
  <si>
    <t>Welding spatter</t>
  </si>
  <si>
    <t>Welding Undercut</t>
  </si>
  <si>
    <t xml:space="preserve">Wire Rope Cut    </t>
  </si>
  <si>
    <t>Wrinkle</t>
  </si>
  <si>
    <t>Wrong Challan</t>
  </si>
  <si>
    <t>Wrong forming</t>
  </si>
  <si>
    <t>Wrong Material </t>
  </si>
  <si>
    <t>Wrong part packing</t>
  </si>
  <si>
    <t>Wrong screening</t>
  </si>
  <si>
    <t>Wrong sticker</t>
  </si>
  <si>
    <t>Wrong thickness</t>
  </si>
  <si>
    <t>Wrong weld nut</t>
  </si>
  <si>
    <r>
      <t xml:space="preserve">Defects Dropdown </t>
    </r>
    <r>
      <rPr>
        <sz val="10"/>
        <color rgb="FF000000"/>
        <rFont val="Arial"/>
        <family val="2"/>
      </rPr>
      <t>(Type of Defects)</t>
    </r>
  </si>
  <si>
    <r>
      <t xml:space="preserve">Cost per part </t>
    </r>
    <r>
      <rPr>
        <sz val="10"/>
        <color rgb="FF000000"/>
        <rFont val="Arial"/>
        <family val="2"/>
      </rPr>
      <t>(Individual part cost)</t>
    </r>
  </si>
  <si>
    <r>
      <t xml:space="preserve">Rejection Cost </t>
    </r>
    <r>
      <rPr>
        <sz val="10"/>
        <color rgb="FF000000"/>
        <rFont val="Arial"/>
        <family val="2"/>
      </rPr>
      <t>(Rejection quantity x Cost per part)</t>
    </r>
  </si>
  <si>
    <r>
      <t xml:space="preserve">Debit cost </t>
    </r>
    <r>
      <rPr>
        <sz val="10"/>
        <color rgb="FF000000"/>
        <rFont val="Arial"/>
        <family val="2"/>
      </rPr>
      <t>(Penalty from buyer)</t>
    </r>
  </si>
  <si>
    <r>
      <t xml:space="preserve">Total Rejection Cost </t>
    </r>
    <r>
      <rPr>
        <sz val="10"/>
        <color rgb="FF000000"/>
        <rFont val="Arial"/>
        <family val="2"/>
      </rPr>
      <t>(Rejection Cost + Debit Cost)</t>
    </r>
  </si>
  <si>
    <r>
      <t xml:space="preserve">Process Dropdown </t>
    </r>
    <r>
      <rPr>
        <sz val="10"/>
        <color rgb="FF000000"/>
        <rFont val="Arial"/>
        <family val="2"/>
      </rPr>
      <t>(Type of Process)</t>
    </r>
  </si>
  <si>
    <r>
      <t xml:space="preserve">Rejection Quantity </t>
    </r>
    <r>
      <rPr>
        <sz val="10"/>
        <color rgb="FF000000"/>
        <rFont val="Arial"/>
        <family val="2"/>
      </rPr>
      <t>(No. of parts rejected)</t>
    </r>
    <r>
      <rPr>
        <b/>
        <sz val="10"/>
        <color rgb="FF000000"/>
        <rFont val="Arial"/>
        <family val="2"/>
      </rPr>
      <t xml:space="preserve"> </t>
    </r>
  </si>
  <si>
    <t>Other</t>
  </si>
  <si>
    <t>Hole issue</t>
  </si>
  <si>
    <r>
      <t xml:space="preserve">Sale Quantity </t>
    </r>
    <r>
      <rPr>
        <sz val="10"/>
        <color rgb="FF000000"/>
        <rFont val="Arial"/>
        <family val="2"/>
      </rPr>
      <t>(No. of parts dispatched)</t>
    </r>
  </si>
  <si>
    <t>PUN</t>
  </si>
  <si>
    <t>Clamp</t>
  </si>
  <si>
    <t>Bracket Assy ,C-Mount</t>
  </si>
  <si>
    <t>ASSY. ANCHORING SELECTION BRACKET</t>
  </si>
  <si>
    <t>CLRPRT_ASY_1-HEADLINER BEADING ASSY - Winger</t>
  </si>
  <si>
    <t>Bracket Assy, Dipstick Mtg</t>
  </si>
  <si>
    <t>ASSY. STRUCTURE</t>
  </si>
  <si>
    <t>BRACKET ASSY,BOOSTER MTG</t>
  </si>
  <si>
    <t>Ultra Cab drop hook assy</t>
  </si>
  <si>
    <t>ASSY BRACKET(FOR PS PUMP):SFC410 BS-IIIL</t>
  </si>
  <si>
    <t>CLUTCH PEDAL ASSY WITH BUSH</t>
  </si>
  <si>
    <t>Hole Offset</t>
  </si>
  <si>
    <t xml:space="preserve"> 1) Found welding spatter in hole
2)Concentricity disturbs by 0.5 mm bolt foul during fm</t>
  </si>
  <si>
    <t>Machining Burr observed</t>
  </si>
  <si>
    <t>Wrong Bending. Unable to assemble</t>
  </si>
  <si>
    <t>Bracket hole position is mismatched</t>
  </si>
  <si>
    <t>Part recd. with Base plate cross welded, unable to</t>
  </si>
  <si>
    <t>Support plate inclined fitted, so BOOSTER MTG not fitted.</t>
  </si>
  <si>
    <t>Wrong weld nut welded ( M5 weld nut instead of M6)</t>
  </si>
  <si>
    <t>Dimension 23 -0.2 found plus i.e. 23.39mm.</t>
  </si>
  <si>
    <t>Improper welding at stopper plate (Bend)</t>
  </si>
  <si>
    <t xml:space="preserve">Pressing </t>
  </si>
  <si>
    <t>welding</t>
  </si>
  <si>
    <t>Bending</t>
  </si>
  <si>
    <t>Surface Protection</t>
  </si>
  <si>
    <t>Unit II</t>
  </si>
  <si>
    <t>Unit III</t>
  </si>
  <si>
    <t>Ramco Automatics</t>
  </si>
  <si>
    <t>W 127</t>
  </si>
  <si>
    <t>Jayson powder coating.</t>
  </si>
  <si>
    <t>unit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</si>
</sst>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Apto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ld%20HDD%20DATA\IATF%2016949\IATF%20ALL%20DATA\DWM\DWM%202026%20-%202027\Pune\Aug%2026\Aug\PO%20Part%20Details_HANA%20(1).xlsx" TargetMode="External"/><Relationship Id="rId1" Type="http://schemas.openxmlformats.org/officeDocument/2006/relationships/externalLinkPath" Target="PO%20Part%20Details_HAN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Detail P'Org"/>
      <sheetName val="Sheet1"/>
    </sheetNames>
    <sheetDataSet>
      <sheetData sheetId="0"/>
      <sheetData sheetId="1">
        <row r="2">
          <cell r="D2">
            <v>252507110103</v>
          </cell>
          <cell r="E2" t="str">
            <v>ASSY LEVER</v>
          </cell>
          <cell r="F2">
            <v>17.850000000000001</v>
          </cell>
        </row>
        <row r="3">
          <cell r="D3">
            <v>265162100159</v>
          </cell>
          <cell r="E3" t="str">
            <v>ASSY. X MEM.D/B COMP.WITH SIDE SUPP.RHD</v>
          </cell>
          <cell r="F3">
            <v>802.9</v>
          </cell>
        </row>
        <row r="4">
          <cell r="D4">
            <v>284546100102</v>
          </cell>
          <cell r="E4" t="str">
            <v>BRACKET,UPPER</v>
          </cell>
          <cell r="F4">
            <v>239.72</v>
          </cell>
        </row>
        <row r="5">
          <cell r="D5">
            <v>269932100153</v>
          </cell>
          <cell r="E5" t="str">
            <v>ASSY.BRACKET LH (FRT.SUSP.LOWER W/B MT</v>
          </cell>
          <cell r="F5">
            <v>210.02</v>
          </cell>
        </row>
        <row r="6">
          <cell r="D6">
            <v>269932100154</v>
          </cell>
          <cell r="E6" t="str">
            <v>ASSY.BRACKET RH (LOWER W/B MOUNTING)</v>
          </cell>
          <cell r="F6">
            <v>203.05</v>
          </cell>
        </row>
        <row r="7">
          <cell r="D7">
            <v>269932108276</v>
          </cell>
          <cell r="E7" t="str">
            <v>BOXING PLATE LH</v>
          </cell>
          <cell r="F7">
            <v>58.31</v>
          </cell>
        </row>
        <row r="8">
          <cell r="D8">
            <v>269932108277</v>
          </cell>
          <cell r="E8" t="str">
            <v>BOXING PLATE RH</v>
          </cell>
          <cell r="F8">
            <v>58.31</v>
          </cell>
        </row>
        <row r="9">
          <cell r="D9">
            <v>284531900101</v>
          </cell>
          <cell r="E9" t="str">
            <v>STONE GUARD ASSY</v>
          </cell>
          <cell r="F9">
            <v>1268.53</v>
          </cell>
        </row>
        <row r="10">
          <cell r="D10">
            <v>252720107106</v>
          </cell>
          <cell r="E10" t="str">
            <v>LIFTING HOOK,REAR</v>
          </cell>
          <cell r="F10">
            <v>81.28</v>
          </cell>
        </row>
        <row r="11">
          <cell r="D11">
            <v>570654603301</v>
          </cell>
          <cell r="E11" t="str">
            <v>BRACKET,ECU W/H SUPPORT</v>
          </cell>
          <cell r="F11">
            <v>78.61</v>
          </cell>
        </row>
        <row r="12">
          <cell r="D12">
            <v>290054600101</v>
          </cell>
          <cell r="E12" t="str">
            <v>BRACKET ASSY</v>
          </cell>
          <cell r="F12">
            <v>248.5</v>
          </cell>
        </row>
        <row r="13">
          <cell r="D13">
            <v>252714120117</v>
          </cell>
          <cell r="E13" t="str">
            <v>BRACKET ASSY</v>
          </cell>
          <cell r="F13">
            <v>1254.28</v>
          </cell>
        </row>
        <row r="14">
          <cell r="D14">
            <v>252714113342</v>
          </cell>
          <cell r="E14" t="str">
            <v>SUPPORT BRACKET</v>
          </cell>
          <cell r="F14">
            <v>44.31</v>
          </cell>
        </row>
        <row r="15">
          <cell r="D15">
            <v>252714113345</v>
          </cell>
          <cell r="E15" t="str">
            <v>SUPPORT BRACKET</v>
          </cell>
          <cell r="F15">
            <v>81.72</v>
          </cell>
        </row>
        <row r="16">
          <cell r="D16">
            <v>517154800104</v>
          </cell>
          <cell r="E16" t="str">
            <v>BRACKET ASSY,AIR BAG ECU &amp; BCM MTG</v>
          </cell>
          <cell r="F16">
            <v>2455.5300000000002</v>
          </cell>
        </row>
        <row r="17">
          <cell r="D17">
            <v>252713103309</v>
          </cell>
          <cell r="E17" t="str">
            <v>SUPPORT BRACKET</v>
          </cell>
          <cell r="F17">
            <v>42.96</v>
          </cell>
        </row>
        <row r="18">
          <cell r="D18">
            <v>252714113363</v>
          </cell>
          <cell r="E18" t="str">
            <v>SUPPORT,BASE PLATE</v>
          </cell>
          <cell r="F18">
            <v>334.24</v>
          </cell>
        </row>
        <row r="19">
          <cell r="D19">
            <v>264749200171</v>
          </cell>
          <cell r="E19" t="str">
            <v>COVER ASSY</v>
          </cell>
          <cell r="F19">
            <v>408.98</v>
          </cell>
        </row>
        <row r="20">
          <cell r="D20">
            <v>252714120112</v>
          </cell>
          <cell r="E20" t="str">
            <v>BRACKET ASSY</v>
          </cell>
          <cell r="F20">
            <v>1121.6099999999999</v>
          </cell>
        </row>
        <row r="21">
          <cell r="D21">
            <v>553049203320</v>
          </cell>
          <cell r="E21" t="str">
            <v>BRACKET,EXHAUST PIPE CLAMPING</v>
          </cell>
          <cell r="F21">
            <v>178.24</v>
          </cell>
        </row>
        <row r="22">
          <cell r="D22">
            <v>272425600410</v>
          </cell>
          <cell r="E22" t="str">
            <v>272425600410</v>
          </cell>
          <cell r="F22">
            <v>251.93</v>
          </cell>
        </row>
        <row r="23">
          <cell r="D23">
            <v>217926810104</v>
          </cell>
          <cell r="E23" t="str">
            <v>ASSY BRACKET G S LEVER (W/POWER STG)</v>
          </cell>
          <cell r="F23">
            <v>6988.42</v>
          </cell>
        </row>
        <row r="24">
          <cell r="D24">
            <v>217926810108</v>
          </cell>
          <cell r="E24" t="str">
            <v>ASSY BRACKET W/TOP PLATE (G S L MTG)LHD</v>
          </cell>
          <cell r="F24">
            <v>6985.97</v>
          </cell>
        </row>
        <row r="25">
          <cell r="D25">
            <v>252714100111</v>
          </cell>
          <cell r="E25" t="str">
            <v>BRACKET</v>
          </cell>
          <cell r="F25">
            <v>452.09</v>
          </cell>
        </row>
        <row r="26">
          <cell r="D26">
            <v>252715140170</v>
          </cell>
          <cell r="E26" t="str">
            <v>BRACKET ASSY ALTERNATOR MTG</v>
          </cell>
          <cell r="F26">
            <v>8420.49</v>
          </cell>
        </row>
        <row r="27">
          <cell r="D27">
            <v>252715148229</v>
          </cell>
          <cell r="E27" t="str">
            <v>SUPPORT BRACKET</v>
          </cell>
          <cell r="F27">
            <v>1085.6500000000001</v>
          </cell>
        </row>
        <row r="28">
          <cell r="D28">
            <v>252723148204</v>
          </cell>
          <cell r="E28" t="str">
            <v>SUPPORT BRACKET</v>
          </cell>
          <cell r="F28">
            <v>1175.82</v>
          </cell>
        </row>
        <row r="29">
          <cell r="D29">
            <v>253401177101</v>
          </cell>
          <cell r="E29" t="str">
            <v>FLANGE</v>
          </cell>
          <cell r="F29">
            <v>111.29</v>
          </cell>
        </row>
        <row r="30">
          <cell r="D30">
            <v>253415140190</v>
          </cell>
          <cell r="E30" t="str">
            <v>ASSY.BRACKET (10S11 AC COMP.&amp; ALT)</v>
          </cell>
          <cell r="F30">
            <v>31585.33</v>
          </cell>
        </row>
        <row r="31">
          <cell r="D31">
            <v>253423400139</v>
          </cell>
          <cell r="E31" t="str">
            <v>ASSY BRACKET(FOR PS PUMP):SFC410 BS-IIIL</v>
          </cell>
          <cell r="F31">
            <v>567.98</v>
          </cell>
        </row>
        <row r="32">
          <cell r="D32">
            <v>264126800204</v>
          </cell>
          <cell r="E32" t="str">
            <v>SUB. ASSY. CUP</v>
          </cell>
          <cell r="F32">
            <v>182.78</v>
          </cell>
        </row>
        <row r="33">
          <cell r="D33">
            <v>264254608207</v>
          </cell>
          <cell r="E33" t="str">
            <v>GEAR BOX MTG BRKT (L-TYPE)</v>
          </cell>
          <cell r="F33">
            <v>3.99</v>
          </cell>
        </row>
        <row r="34">
          <cell r="D34">
            <v>267388100101</v>
          </cell>
          <cell r="E34" t="str">
            <v>HOOK ASSY</v>
          </cell>
          <cell r="F34">
            <v>120.67</v>
          </cell>
        </row>
        <row r="35">
          <cell r="D35">
            <v>267484100103</v>
          </cell>
          <cell r="E35" t="str">
            <v>BRACKET ASSY,HEADBOX MTG,CENTER-LH</v>
          </cell>
          <cell r="F35">
            <v>75.61</v>
          </cell>
        </row>
        <row r="36">
          <cell r="D36">
            <v>267484100104</v>
          </cell>
          <cell r="E36" t="str">
            <v>BRACKET ASSY,HEADBOX MTG,CENTER-RH</v>
          </cell>
          <cell r="F36">
            <v>65.03</v>
          </cell>
        </row>
        <row r="37">
          <cell r="D37">
            <v>269842700117</v>
          </cell>
          <cell r="E37" t="str">
            <v>ASSY LEVER LH</v>
          </cell>
          <cell r="F37">
            <v>1116.31</v>
          </cell>
        </row>
        <row r="38">
          <cell r="D38">
            <v>278914600143</v>
          </cell>
          <cell r="E38" t="str">
            <v>ADAPTER ASSY IC PIPE INATKE</v>
          </cell>
          <cell r="F38">
            <v>467.73</v>
          </cell>
        </row>
        <row r="39">
          <cell r="D39">
            <v>280949200144</v>
          </cell>
          <cell r="E39" t="str">
            <v>ASSY. BRACKET (SUPPORT FROM ENG. BLOCK)</v>
          </cell>
          <cell r="F39">
            <v>2735.6</v>
          </cell>
        </row>
        <row r="40">
          <cell r="D40">
            <v>282143400102</v>
          </cell>
          <cell r="E40" t="str">
            <v>BRACKET ASSY</v>
          </cell>
          <cell r="F40">
            <v>111.15</v>
          </cell>
        </row>
        <row r="41">
          <cell r="D41">
            <v>289829100128</v>
          </cell>
          <cell r="E41" t="str">
            <v>CLUTCH PEDAL ASSY WITH PEDAL BOX</v>
          </cell>
          <cell r="F41">
            <v>651.72</v>
          </cell>
        </row>
        <row r="42">
          <cell r="D42">
            <v>289881100111</v>
          </cell>
          <cell r="E42" t="str">
            <v>COVER ASSY,MIDDLE</v>
          </cell>
          <cell r="F42">
            <v>17.809999999999999</v>
          </cell>
        </row>
        <row r="43">
          <cell r="D43">
            <v>289883750103</v>
          </cell>
          <cell r="E43" t="str">
            <v>BRACKET ASSY WITH WELD NUT</v>
          </cell>
          <cell r="F43">
            <v>70.37</v>
          </cell>
        </row>
        <row r="44">
          <cell r="D44">
            <v>290070100106</v>
          </cell>
          <cell r="E44" t="str">
            <v>SUPD ASSY,LH</v>
          </cell>
          <cell r="F44">
            <v>1867.93</v>
          </cell>
        </row>
        <row r="45">
          <cell r="D45">
            <v>290070100107</v>
          </cell>
          <cell r="E45" t="str">
            <v>SUPD ASSY,RH</v>
          </cell>
          <cell r="F45">
            <v>1867.93</v>
          </cell>
        </row>
        <row r="46">
          <cell r="D46">
            <v>290070100110</v>
          </cell>
          <cell r="E46" t="str">
            <v>SUPD ASSY,LH</v>
          </cell>
          <cell r="F46">
            <v>1954.12</v>
          </cell>
        </row>
        <row r="47">
          <cell r="D47">
            <v>290070100111</v>
          </cell>
          <cell r="E47" t="str">
            <v>SUPD ASSY,LH</v>
          </cell>
          <cell r="F47">
            <v>1541.89</v>
          </cell>
        </row>
        <row r="48">
          <cell r="D48">
            <v>508949200127</v>
          </cell>
          <cell r="E48" t="str">
            <v>BRACKET ASSY,TAIL PIPE MTG</v>
          </cell>
          <cell r="F48">
            <v>692.8</v>
          </cell>
        </row>
        <row r="49">
          <cell r="D49">
            <v>508949203319</v>
          </cell>
          <cell r="E49" t="str">
            <v>BRACKET,TAIL PIPE</v>
          </cell>
          <cell r="F49">
            <v>447.61</v>
          </cell>
        </row>
        <row r="50">
          <cell r="D50">
            <v>552749103302</v>
          </cell>
          <cell r="E50" t="str">
            <v>BRACKET DOC POC SUPPORT</v>
          </cell>
          <cell r="F50">
            <v>85.85</v>
          </cell>
        </row>
        <row r="51">
          <cell r="D51">
            <v>552970100155</v>
          </cell>
          <cell r="E51" t="str">
            <v>SUPD ASSY</v>
          </cell>
          <cell r="F51">
            <v>1113.3</v>
          </cell>
        </row>
        <row r="52">
          <cell r="D52">
            <v>553054600193</v>
          </cell>
          <cell r="E52" t="str">
            <v>BRACKET ASSY,FUSE BOX MTG</v>
          </cell>
          <cell r="F52">
            <v>833.11</v>
          </cell>
        </row>
        <row r="53">
          <cell r="D53">
            <v>555547500101</v>
          </cell>
          <cell r="E53" t="str">
            <v>ARRESTOR ASSY</v>
          </cell>
          <cell r="F53">
            <v>173.71</v>
          </cell>
        </row>
        <row r="54">
          <cell r="D54">
            <v>570601173342</v>
          </cell>
          <cell r="E54" t="str">
            <v>BRACKET,OIL MIST SEPARATOR MTG</v>
          </cell>
          <cell r="F54">
            <v>80.2</v>
          </cell>
        </row>
        <row r="55">
          <cell r="D55">
            <v>550854600123</v>
          </cell>
          <cell r="E55" t="str">
            <v>BRACKET &amp; STRIP PLATE ASSY</v>
          </cell>
          <cell r="F55">
            <v>268.82</v>
          </cell>
        </row>
        <row r="56">
          <cell r="D56" t="str">
            <v>55416100M10125</v>
          </cell>
          <cell r="E56" t="str">
            <v>SUBSTRUCTURE ASSY WITH FLOOR</v>
          </cell>
          <cell r="F56">
            <v>7564.07</v>
          </cell>
        </row>
        <row r="57">
          <cell r="D57">
            <v>550854700101</v>
          </cell>
          <cell r="E57" t="str">
            <v>BRACKET ASSY,BODY ACCESSORIES CONTROLLER</v>
          </cell>
          <cell r="F57">
            <v>251.05</v>
          </cell>
        </row>
        <row r="58">
          <cell r="D58">
            <v>252707120104</v>
          </cell>
          <cell r="E58" t="str">
            <v>BRACKET ASSY</v>
          </cell>
          <cell r="F58">
            <v>657.42</v>
          </cell>
        </row>
        <row r="59">
          <cell r="D59">
            <v>253409120198</v>
          </cell>
          <cell r="E59" t="str">
            <v>BRACKET ASSY</v>
          </cell>
          <cell r="F59">
            <v>170.41</v>
          </cell>
        </row>
        <row r="60">
          <cell r="D60">
            <v>570914118210</v>
          </cell>
          <cell r="E60" t="str">
            <v>SUPPORT BRACKET,EXHAUST ELBOW</v>
          </cell>
          <cell r="F60">
            <v>686.13</v>
          </cell>
        </row>
        <row r="61">
          <cell r="D61">
            <v>284558300108</v>
          </cell>
          <cell r="E61" t="str">
            <v>BRACKET</v>
          </cell>
          <cell r="F61">
            <v>188.68</v>
          </cell>
        </row>
        <row r="62">
          <cell r="D62">
            <v>289861000111</v>
          </cell>
          <cell r="E62" t="str">
            <v>FLOOR ASSY WITH SUBSTRUCTURE</v>
          </cell>
          <cell r="F62">
            <v>8840.86</v>
          </cell>
        </row>
        <row r="63">
          <cell r="D63">
            <v>264170100214</v>
          </cell>
          <cell r="E63" t="str">
            <v>ASSY.SIDE GUARD WITH SUPPORT</v>
          </cell>
          <cell r="F63">
            <v>854.71</v>
          </cell>
        </row>
        <row r="64">
          <cell r="D64">
            <v>264184100103</v>
          </cell>
          <cell r="E64" t="str">
            <v>BRACKET ASSY,HEADBOX MTG,CENTER-LH</v>
          </cell>
          <cell r="F64">
            <v>65.709999999999994</v>
          </cell>
        </row>
        <row r="65">
          <cell r="D65">
            <v>264184100104</v>
          </cell>
          <cell r="E65" t="str">
            <v>BRACKET ASSY,HEADBOX MTG,CENTER-RH</v>
          </cell>
          <cell r="F65">
            <v>66.17</v>
          </cell>
        </row>
        <row r="66">
          <cell r="D66">
            <v>553229300106</v>
          </cell>
          <cell r="E66" t="str">
            <v>CLUTCH PEDAL ASSY WITH BUSH</v>
          </cell>
          <cell r="F66">
            <v>144.25</v>
          </cell>
        </row>
        <row r="67">
          <cell r="D67">
            <v>553229200109</v>
          </cell>
          <cell r="E67" t="str">
            <v>BRAKE PEDAL ASSY WITH BUSH</v>
          </cell>
          <cell r="F67">
            <v>165.43</v>
          </cell>
        </row>
        <row r="68">
          <cell r="D68">
            <v>585862600139</v>
          </cell>
          <cell r="E68" t="str">
            <v>CAB ASSY,LIFTING NRW</v>
          </cell>
          <cell r="F68">
            <v>81.12</v>
          </cell>
        </row>
        <row r="69">
          <cell r="D69">
            <v>251626307101</v>
          </cell>
          <cell r="E69" t="str">
            <v>GEAR BOX COVER FRONT LOWER</v>
          </cell>
          <cell r="F69">
            <v>127.13</v>
          </cell>
        </row>
        <row r="70">
          <cell r="D70">
            <v>253414110184</v>
          </cell>
          <cell r="E70" t="str">
            <v>ASSY. BRACKET(VACUUM MODULATOR)(B)</v>
          </cell>
          <cell r="F70">
            <v>26946.82</v>
          </cell>
        </row>
        <row r="71">
          <cell r="D71">
            <v>284583750105</v>
          </cell>
          <cell r="E71" t="str">
            <v>BRACKET ASSY,AC PIPE MTG</v>
          </cell>
          <cell r="F71">
            <v>63.23</v>
          </cell>
        </row>
        <row r="72">
          <cell r="D72">
            <v>553224108205</v>
          </cell>
          <cell r="E72" t="str">
            <v>COVER PLATE</v>
          </cell>
          <cell r="F72">
            <v>61.32</v>
          </cell>
        </row>
        <row r="73">
          <cell r="D73">
            <v>553224108208</v>
          </cell>
          <cell r="E73" t="str">
            <v>COVER PLATE</v>
          </cell>
          <cell r="F73">
            <v>61.33</v>
          </cell>
        </row>
        <row r="74">
          <cell r="D74">
            <v>282231700120</v>
          </cell>
          <cell r="E74" t="str">
            <v>BRACKET ASSY,RUPD MTG,RH</v>
          </cell>
          <cell r="F74">
            <v>179.81</v>
          </cell>
        </row>
        <row r="75">
          <cell r="D75">
            <v>282231700121</v>
          </cell>
          <cell r="E75" t="str">
            <v>BRACKET ASSY,RUPD MTG,LH</v>
          </cell>
          <cell r="F75">
            <v>179.81</v>
          </cell>
        </row>
        <row r="76">
          <cell r="D76">
            <v>252715148226</v>
          </cell>
          <cell r="E76" t="str">
            <v>BRACKET</v>
          </cell>
          <cell r="F76">
            <v>298.86</v>
          </cell>
        </row>
        <row r="77">
          <cell r="D77">
            <v>290031700175</v>
          </cell>
          <cell r="E77" t="str">
            <v>BEAM ASSY,RUPD</v>
          </cell>
          <cell r="F77">
            <v>4119.58</v>
          </cell>
        </row>
        <row r="78">
          <cell r="D78">
            <v>284583750113</v>
          </cell>
          <cell r="E78" t="str">
            <v>BRACKET ASSY</v>
          </cell>
          <cell r="F78">
            <v>53.62</v>
          </cell>
        </row>
        <row r="79">
          <cell r="D79">
            <v>553254800106</v>
          </cell>
          <cell r="E79" t="str">
            <v>BRACKET ASSY,P-CLAMP MTG</v>
          </cell>
          <cell r="F79">
            <v>737.83</v>
          </cell>
        </row>
        <row r="80">
          <cell r="D80">
            <v>553054800104</v>
          </cell>
          <cell r="E80" t="str">
            <v>BRACKET ASSY,SPEAKER MTG,RH</v>
          </cell>
          <cell r="F80">
            <v>67.540000000000006</v>
          </cell>
        </row>
        <row r="81">
          <cell r="D81">
            <v>553054800103</v>
          </cell>
          <cell r="E81" t="str">
            <v>BRACKET ASSY,SPEAKER MTG,LH</v>
          </cell>
          <cell r="F81">
            <v>67.989999999999995</v>
          </cell>
        </row>
        <row r="82">
          <cell r="D82">
            <v>222970160188</v>
          </cell>
          <cell r="E82" t="str">
            <v>SUPD ASSY</v>
          </cell>
          <cell r="F82">
            <v>1069.5999999999999</v>
          </cell>
        </row>
        <row r="83">
          <cell r="D83">
            <v>517154800103</v>
          </cell>
          <cell r="E83" t="str">
            <v>BRACKET ASSY,VECU MTG</v>
          </cell>
          <cell r="F83">
            <v>2576.0500000000002</v>
          </cell>
        </row>
        <row r="84">
          <cell r="D84" t="str">
            <v>52046017M10148</v>
          </cell>
          <cell r="E84" t="str">
            <v>PANEL,TOP ASSY</v>
          </cell>
          <cell r="F84">
            <v>1897.87</v>
          </cell>
        </row>
        <row r="85">
          <cell r="D85" t="str">
            <v>52046017M10154</v>
          </cell>
          <cell r="E85" t="str">
            <v>PANEL,TOP ASSY</v>
          </cell>
          <cell r="F85">
            <v>1351.93</v>
          </cell>
        </row>
        <row r="86">
          <cell r="D86" t="str">
            <v>52046017M10163</v>
          </cell>
          <cell r="E86" t="str">
            <v>SIDE PANRL ASSY</v>
          </cell>
          <cell r="F86">
            <v>1889.64</v>
          </cell>
        </row>
        <row r="87">
          <cell r="D87">
            <v>289833103306</v>
          </cell>
          <cell r="E87" t="str">
            <v>REINFORCEMENT</v>
          </cell>
          <cell r="F87">
            <v>464.93</v>
          </cell>
        </row>
        <row r="88">
          <cell r="D88">
            <v>284563250110</v>
          </cell>
          <cell r="E88" t="str">
            <v>BRACKET ASSY,SIDE SUPPORT MTG</v>
          </cell>
          <cell r="F88">
            <v>389.1</v>
          </cell>
        </row>
        <row r="89">
          <cell r="D89">
            <v>278901173328</v>
          </cell>
          <cell r="E89" t="str">
            <v>BRACKET,OIL MIST SEPARATOR MTG</v>
          </cell>
          <cell r="F89">
            <v>171.1</v>
          </cell>
        </row>
        <row r="90">
          <cell r="D90">
            <v>252714113342</v>
          </cell>
          <cell r="E90" t="str">
            <v>SUPPORT BRACKET</v>
          </cell>
          <cell r="F90">
            <v>1119.68</v>
          </cell>
        </row>
        <row r="91">
          <cell r="D91">
            <v>570614113318</v>
          </cell>
          <cell r="E91" t="str">
            <v>BRACKET ASSY</v>
          </cell>
          <cell r="F91">
            <v>31.38</v>
          </cell>
        </row>
        <row r="92">
          <cell r="D92">
            <v>585888200101</v>
          </cell>
          <cell r="E92" t="str">
            <v>PIPE ASSY,FENDER REAR-LH</v>
          </cell>
          <cell r="F92">
            <v>1208.6400000000001</v>
          </cell>
        </row>
        <row r="93">
          <cell r="D93">
            <v>253420100229</v>
          </cell>
          <cell r="E93" t="str">
            <v>BRACKET ASSY</v>
          </cell>
          <cell r="F93">
            <v>66.62</v>
          </cell>
        </row>
        <row r="94">
          <cell r="D94">
            <v>252720107106</v>
          </cell>
          <cell r="E94" t="str">
            <v>LIFTING HOOK,REAR</v>
          </cell>
          <cell r="F94">
            <v>304.39999999999998</v>
          </cell>
        </row>
        <row r="95">
          <cell r="D95" t="str">
            <v>52046017M10152</v>
          </cell>
          <cell r="E95" t="str">
            <v>PANEL,TOP ASSY</v>
          </cell>
          <cell r="F95">
            <v>1505.25</v>
          </cell>
        </row>
        <row r="96">
          <cell r="D96">
            <v>585883753306</v>
          </cell>
          <cell r="E96" t="str">
            <v>BRACKET,AC PIPE MTG,LH</v>
          </cell>
          <cell r="F96">
            <v>141.13</v>
          </cell>
        </row>
        <row r="97">
          <cell r="D97">
            <v>555583750108</v>
          </cell>
          <cell r="E97" t="str">
            <v>BRACKET ASSY,AC PIPE MTG</v>
          </cell>
          <cell r="F97">
            <v>72.260000000000005</v>
          </cell>
        </row>
        <row r="98">
          <cell r="D98">
            <v>555583750109</v>
          </cell>
          <cell r="E98" t="str">
            <v>BRACKET ASSY,AC PIPE MTG</v>
          </cell>
          <cell r="F98">
            <v>1441.75</v>
          </cell>
        </row>
        <row r="99">
          <cell r="D99">
            <v>289483400390</v>
          </cell>
          <cell r="E99" t="str">
            <v>BRACKET,AC PIPE MTG</v>
          </cell>
          <cell r="F99">
            <v>1768.01</v>
          </cell>
        </row>
        <row r="100">
          <cell r="D100">
            <v>270543808211</v>
          </cell>
          <cell r="E100" t="str">
            <v>BRACKET FOR BRAKE PIPE (ON FRAME)</v>
          </cell>
          <cell r="F100">
            <v>126.6</v>
          </cell>
        </row>
        <row r="101">
          <cell r="D101">
            <v>253423123305</v>
          </cell>
          <cell r="E101" t="str">
            <v>SUPPORT BRACKET</v>
          </cell>
          <cell r="F101">
            <v>145.94</v>
          </cell>
        </row>
        <row r="102">
          <cell r="D102">
            <v>503626803301</v>
          </cell>
          <cell r="E102" t="str">
            <v>BRACKET TWISTED</v>
          </cell>
          <cell r="F102">
            <v>77.19</v>
          </cell>
        </row>
        <row r="103">
          <cell r="D103">
            <v>557630100101</v>
          </cell>
          <cell r="E103" t="str">
            <v>BRACKET ASSY,ACCELERATOR PEDAL MTG</v>
          </cell>
          <cell r="F103">
            <v>2786.59</v>
          </cell>
        </row>
        <row r="104">
          <cell r="D104">
            <v>554154808201</v>
          </cell>
          <cell r="E104" t="str">
            <v>BRACKET,MUSIC SYSTEM MTG,LH</v>
          </cell>
          <cell r="F104">
            <v>3959.68</v>
          </cell>
        </row>
        <row r="105">
          <cell r="D105">
            <v>554154808202</v>
          </cell>
          <cell r="E105" t="str">
            <v>BRACKET,MUSIC SYSTEM MTG,RH</v>
          </cell>
          <cell r="F105">
            <v>3959.68</v>
          </cell>
        </row>
        <row r="106">
          <cell r="D106">
            <v>554732807103</v>
          </cell>
          <cell r="E106" t="str">
            <v>PLATE</v>
          </cell>
          <cell r="F106">
            <v>117.1</v>
          </cell>
        </row>
        <row r="107">
          <cell r="D107">
            <v>515383403301</v>
          </cell>
          <cell r="E107" t="str">
            <v>BRACKET</v>
          </cell>
          <cell r="F107">
            <v>13.81</v>
          </cell>
        </row>
        <row r="108">
          <cell r="D108">
            <v>585889106004</v>
          </cell>
          <cell r="E108" t="str">
            <v>CONNECTING LINK</v>
          </cell>
          <cell r="F108">
            <v>39.299999999999997</v>
          </cell>
        </row>
        <row r="109">
          <cell r="D109">
            <v>252703113305</v>
          </cell>
          <cell r="E109" t="str">
            <v>COVER,FLYWHEEL HOUSING,BOTTOM</v>
          </cell>
          <cell r="F109">
            <v>366.74</v>
          </cell>
        </row>
        <row r="110">
          <cell r="D110">
            <v>267389107137</v>
          </cell>
          <cell r="E110" t="str">
            <v>PLATE</v>
          </cell>
          <cell r="F110">
            <v>105.33</v>
          </cell>
        </row>
        <row r="111">
          <cell r="D111">
            <v>267389107138</v>
          </cell>
          <cell r="E111" t="str">
            <v>PLATE</v>
          </cell>
          <cell r="F111">
            <v>119.55</v>
          </cell>
        </row>
        <row r="112">
          <cell r="D112">
            <v>554731700111</v>
          </cell>
          <cell r="E112" t="str">
            <v>FUPD MTG,LH</v>
          </cell>
          <cell r="F112">
            <v>40800.82</v>
          </cell>
        </row>
        <row r="113">
          <cell r="D113">
            <v>278914610102</v>
          </cell>
          <cell r="E113" t="str">
            <v>BRACKET ASSY,MTG,PIPE,TC TO INTERCOOLER</v>
          </cell>
          <cell r="F113">
            <v>158.07</v>
          </cell>
        </row>
        <row r="114">
          <cell r="D114">
            <v>252703113302</v>
          </cell>
          <cell r="E114" t="str">
            <v>COVER,FLYWHEEL HOUSING</v>
          </cell>
          <cell r="F114">
            <v>625.75</v>
          </cell>
        </row>
        <row r="115">
          <cell r="D115">
            <v>264342108202</v>
          </cell>
          <cell r="E115" t="str">
            <v>ANCHOR BRACKET</v>
          </cell>
          <cell r="F115">
            <v>235.51</v>
          </cell>
        </row>
        <row r="116">
          <cell r="D116">
            <v>518146803302</v>
          </cell>
          <cell r="E116" t="str">
            <v>BRACKET,PIPE CLAMP</v>
          </cell>
          <cell r="F116">
            <v>242.93</v>
          </cell>
        </row>
        <row r="117">
          <cell r="D117">
            <v>550249200160</v>
          </cell>
          <cell r="E117" t="str">
            <v>PLATE ASSY</v>
          </cell>
          <cell r="F117">
            <v>275.13</v>
          </cell>
        </row>
        <row r="118">
          <cell r="D118">
            <v>570650110395</v>
          </cell>
          <cell r="E118" t="str">
            <v>570650110395</v>
          </cell>
          <cell r="F118">
            <v>43.41</v>
          </cell>
        </row>
        <row r="119">
          <cell r="D119">
            <v>570650110396</v>
          </cell>
          <cell r="E119" t="str">
            <v>570650110396</v>
          </cell>
          <cell r="F119">
            <v>38.67</v>
          </cell>
        </row>
        <row r="120">
          <cell r="D120">
            <v>553042308201</v>
          </cell>
          <cell r="E120" t="str">
            <v>553042308201</v>
          </cell>
          <cell r="F120">
            <v>1025.6400000000001</v>
          </cell>
        </row>
        <row r="121">
          <cell r="D121">
            <v>278949103308</v>
          </cell>
          <cell r="E121" t="str">
            <v>BRACKET,SENSOR MTG</v>
          </cell>
          <cell r="F121">
            <v>157.41</v>
          </cell>
        </row>
        <row r="122">
          <cell r="D122">
            <v>550249203309</v>
          </cell>
          <cell r="E122" t="str">
            <v>BRACKET,SUPPORT</v>
          </cell>
          <cell r="F122">
            <v>142.19999999999999</v>
          </cell>
        </row>
        <row r="123">
          <cell r="D123">
            <v>550254603313</v>
          </cell>
          <cell r="E123" t="str">
            <v>BRACKET</v>
          </cell>
          <cell r="F123">
            <v>160.93</v>
          </cell>
        </row>
        <row r="124">
          <cell r="D124">
            <v>550254603314</v>
          </cell>
          <cell r="E124" t="str">
            <v>BRACKET</v>
          </cell>
          <cell r="F124">
            <v>214.43</v>
          </cell>
        </row>
        <row r="125">
          <cell r="D125">
            <v>278914120159</v>
          </cell>
          <cell r="E125" t="str">
            <v>BRACKET ASSY,VACUUM MODULATOR MTG</v>
          </cell>
          <cell r="F125">
            <v>119.18</v>
          </cell>
        </row>
        <row r="126">
          <cell r="D126">
            <v>278909138208</v>
          </cell>
          <cell r="E126" t="str">
            <v>BRACKET,SERVICE INDICATOR MTG</v>
          </cell>
          <cell r="F126">
            <v>130.9</v>
          </cell>
        </row>
        <row r="127">
          <cell r="D127">
            <v>284566400138</v>
          </cell>
          <cell r="E127" t="str">
            <v>STRUCTURE ASSY,RH</v>
          </cell>
          <cell r="F127">
            <v>3522.44</v>
          </cell>
        </row>
        <row r="128">
          <cell r="D128">
            <v>284566400139</v>
          </cell>
          <cell r="E128" t="str">
            <v>STRUCTURE ASSY,RH</v>
          </cell>
          <cell r="F128">
            <v>2729.19</v>
          </cell>
        </row>
        <row r="129">
          <cell r="D129">
            <v>284566400143</v>
          </cell>
          <cell r="E129" t="str">
            <v>STRUCTURE ASSY,REAR</v>
          </cell>
          <cell r="F129">
            <v>8052.1</v>
          </cell>
        </row>
        <row r="130">
          <cell r="D130">
            <v>570601170197</v>
          </cell>
          <cell r="E130" t="str">
            <v>BRACKET ASSY,DIPSTICK MTG</v>
          </cell>
          <cell r="F130">
            <v>49.51</v>
          </cell>
        </row>
        <row r="131">
          <cell r="D131">
            <v>222970160166</v>
          </cell>
          <cell r="E131" t="str">
            <v>SUPD ASSY</v>
          </cell>
          <cell r="F131">
            <v>925.64</v>
          </cell>
        </row>
        <row r="132">
          <cell r="D132">
            <v>555470160112</v>
          </cell>
          <cell r="E132" t="str">
            <v>555470160112</v>
          </cell>
          <cell r="F132">
            <v>511.55</v>
          </cell>
        </row>
        <row r="133">
          <cell r="D133">
            <v>264172208255</v>
          </cell>
          <cell r="E133" t="str">
            <v>REINFORCEMENT PLATE,LH</v>
          </cell>
          <cell r="F133">
            <v>16.22</v>
          </cell>
        </row>
        <row r="134">
          <cell r="D134">
            <v>264172208258</v>
          </cell>
          <cell r="E134" t="str">
            <v>REINFORCEMENT PLATE,RH</v>
          </cell>
          <cell r="F134">
            <v>16.22</v>
          </cell>
        </row>
        <row r="135">
          <cell r="D135">
            <v>289732100111</v>
          </cell>
          <cell r="E135" t="str">
            <v>LOWER WISHBONE ASSY, RH,COMPLETE</v>
          </cell>
          <cell r="F135">
            <v>2056.06</v>
          </cell>
        </row>
        <row r="136">
          <cell r="D136">
            <v>289732100112</v>
          </cell>
          <cell r="E136" t="str">
            <v>LOWER WISHBONE ASSY,LH,COMPLETE</v>
          </cell>
          <cell r="F136">
            <v>2056.06</v>
          </cell>
        </row>
        <row r="137">
          <cell r="D137">
            <v>550654608260</v>
          </cell>
          <cell r="E137" t="str">
            <v>BRACKET ON CROSS MEMBER FOR WH MTG</v>
          </cell>
          <cell r="F137">
            <v>2.56</v>
          </cell>
        </row>
        <row r="138">
          <cell r="D138">
            <v>219049200124</v>
          </cell>
          <cell r="E138" t="str">
            <v>BRACKET ASSY,MAIN SILENCER MTG</v>
          </cell>
          <cell r="F138">
            <v>107.64</v>
          </cell>
        </row>
        <row r="139">
          <cell r="D139">
            <v>550215603301</v>
          </cell>
          <cell r="E139" t="str">
            <v>BRACKET,EMS WIRING HARNESS MTG</v>
          </cell>
          <cell r="F139">
            <v>10.130000000000001</v>
          </cell>
        </row>
        <row r="140">
          <cell r="D140">
            <v>552958604002</v>
          </cell>
          <cell r="E140" t="str">
            <v>JACK CLAMP</v>
          </cell>
          <cell r="F140">
            <v>21.94</v>
          </cell>
        </row>
        <row r="141">
          <cell r="D141">
            <v>270829100101</v>
          </cell>
          <cell r="E141" t="str">
            <v>BRACKET ASSY,CLUTCH BOOSTER MTG</v>
          </cell>
          <cell r="F141">
            <v>283</v>
          </cell>
        </row>
        <row r="142">
          <cell r="D142">
            <v>289854603340</v>
          </cell>
          <cell r="E142" t="str">
            <v>MAXI FUSE SUPPORT</v>
          </cell>
          <cell r="F142">
            <v>3.75</v>
          </cell>
        </row>
        <row r="143">
          <cell r="D143">
            <v>252709140354</v>
          </cell>
          <cell r="E143" t="str">
            <v>BRACKET ASSY,AIR FILTER MTG</v>
          </cell>
          <cell r="F143">
            <v>1412.8</v>
          </cell>
        </row>
        <row r="144">
          <cell r="D144">
            <v>553026820103</v>
          </cell>
          <cell r="E144" t="str">
            <v>ANCHOR BRACKET ASSY, SHIFT CABLE</v>
          </cell>
          <cell r="F144">
            <v>84.85</v>
          </cell>
        </row>
        <row r="145">
          <cell r="D145">
            <v>217926810111</v>
          </cell>
          <cell r="E145" t="str">
            <v>CABLE ANCHOR BRACKET</v>
          </cell>
          <cell r="F145">
            <v>31.31</v>
          </cell>
        </row>
        <row r="146">
          <cell r="D146">
            <v>553354600132</v>
          </cell>
          <cell r="E146" t="str">
            <v>ASSY BKT ENGINE INLINE MTG FOR 497 LF</v>
          </cell>
          <cell r="F146">
            <v>12.02</v>
          </cell>
        </row>
        <row r="147">
          <cell r="D147">
            <v>503354608207</v>
          </cell>
          <cell r="E147" t="str">
            <v>BKT FOR HARNESS MOUNTING</v>
          </cell>
          <cell r="F147">
            <v>4.9800000000000004</v>
          </cell>
        </row>
        <row r="148">
          <cell r="D148">
            <v>553043703302</v>
          </cell>
          <cell r="E148" t="str">
            <v>BRACKET,MODULATOR VALVE MTG</v>
          </cell>
          <cell r="F148">
            <v>28.73</v>
          </cell>
        </row>
        <row r="149">
          <cell r="D149">
            <v>553043903303</v>
          </cell>
          <cell r="E149" t="str">
            <v>BRACKET,T-CONN MTG</v>
          </cell>
          <cell r="F149">
            <v>29.55</v>
          </cell>
        </row>
        <row r="150">
          <cell r="D150">
            <v>585889100288</v>
          </cell>
          <cell r="E150" t="str">
            <v>CROSS TUBE ASSY COMPLETE NRW</v>
          </cell>
          <cell r="F150">
            <v>1748.39</v>
          </cell>
        </row>
        <row r="151">
          <cell r="D151">
            <v>253409140274</v>
          </cell>
          <cell r="E151" t="str">
            <v>BRACKET,AIR FILTER MTG</v>
          </cell>
          <cell r="F151">
            <v>691.76</v>
          </cell>
        </row>
        <row r="152">
          <cell r="D152">
            <v>215331700171</v>
          </cell>
          <cell r="E152" t="str">
            <v>ASSY BRACKET COMPLETE R.H.(RUPD)</v>
          </cell>
          <cell r="F152">
            <v>365.29</v>
          </cell>
        </row>
        <row r="153">
          <cell r="D153">
            <v>215331700172</v>
          </cell>
          <cell r="E153" t="str">
            <v>ASSY BRACKET COMPLETE L.H.(RUPD)</v>
          </cell>
          <cell r="F153">
            <v>365.29</v>
          </cell>
        </row>
        <row r="154">
          <cell r="D154">
            <v>206731207178</v>
          </cell>
          <cell r="E154" t="str">
            <v>SUPPORT (REAR SPRING CROSS MEMBER)</v>
          </cell>
          <cell r="F154">
            <v>208.99</v>
          </cell>
        </row>
        <row r="155">
          <cell r="D155">
            <v>215329100110</v>
          </cell>
          <cell r="E155" t="str">
            <v>BRAKE PEDAL ASSY WITH BUSH</v>
          </cell>
          <cell r="F155">
            <v>121.81</v>
          </cell>
        </row>
        <row r="156">
          <cell r="D156">
            <v>252520140112</v>
          </cell>
          <cell r="E156" t="str">
            <v>ASSY.BRACKET TOP-RH(FAN RING MTG)</v>
          </cell>
          <cell r="F156">
            <v>51.24</v>
          </cell>
        </row>
        <row r="157">
          <cell r="D157">
            <v>252520140113</v>
          </cell>
          <cell r="E157" t="str">
            <v>ASSY BRACKET TOP-LH(FAN RING MTG)</v>
          </cell>
          <cell r="F157">
            <v>51.89</v>
          </cell>
        </row>
        <row r="158">
          <cell r="D158">
            <v>252520140115</v>
          </cell>
          <cell r="E158" t="str">
            <v>ASSY.BRACKET-BOTTOM-LH(FAN RING MTG)</v>
          </cell>
          <cell r="F158">
            <v>65.64</v>
          </cell>
        </row>
        <row r="159">
          <cell r="D159">
            <v>252520140131</v>
          </cell>
          <cell r="E159" t="str">
            <v>ASSY. BRACKET - BOTTOM - RH (FOR FAN RIN</v>
          </cell>
          <cell r="F159">
            <v>56.53</v>
          </cell>
        </row>
        <row r="160">
          <cell r="D160">
            <v>253401170208</v>
          </cell>
          <cell r="E160" t="str">
            <v>BRACKET ASSY,DIPSTICK MTG</v>
          </cell>
          <cell r="F160">
            <v>10.220000000000001</v>
          </cell>
        </row>
        <row r="161">
          <cell r="D161">
            <v>264129000104</v>
          </cell>
          <cell r="E161" t="str">
            <v>ASSY.BRAKE PEDAL WITH SLEEVE &amp; COVER</v>
          </cell>
          <cell r="F161">
            <v>164.77</v>
          </cell>
        </row>
        <row r="162">
          <cell r="D162">
            <v>264129100113</v>
          </cell>
          <cell r="E162" t="str">
            <v>ASSY.CLUTCH PEDAL COMPLETE</v>
          </cell>
          <cell r="F162">
            <v>135.68</v>
          </cell>
        </row>
        <row r="163">
          <cell r="D163">
            <v>264129200109</v>
          </cell>
          <cell r="E163" t="str">
            <v>CLUCTH PEDAL ASSY</v>
          </cell>
          <cell r="F163">
            <v>152.78</v>
          </cell>
        </row>
        <row r="164">
          <cell r="D164">
            <v>264189108272</v>
          </cell>
          <cell r="E164" t="str">
            <v>PLATE,CAB LOCKING MECHANISM</v>
          </cell>
          <cell r="F164">
            <v>7.3</v>
          </cell>
        </row>
        <row r="165">
          <cell r="D165">
            <v>264215608202</v>
          </cell>
          <cell r="E165" t="str">
            <v>CLIP_ENGINE</v>
          </cell>
          <cell r="F165">
            <v>1.54</v>
          </cell>
        </row>
        <row r="166">
          <cell r="D166">
            <v>264229108224</v>
          </cell>
          <cell r="E166" t="str">
            <v>BRACKET,BUNDY TUBE MTG</v>
          </cell>
          <cell r="F166">
            <v>17.66</v>
          </cell>
        </row>
        <row r="167">
          <cell r="D167">
            <v>264254200140</v>
          </cell>
          <cell r="E167" t="str">
            <v>BRACKET ASSY,FUSE BOX MTG</v>
          </cell>
          <cell r="F167">
            <v>53.22</v>
          </cell>
        </row>
        <row r="168">
          <cell r="D168">
            <v>264329100135</v>
          </cell>
          <cell r="E168" t="str">
            <v>BRAKE PEDAL ASSY WITH BUSH</v>
          </cell>
          <cell r="F168">
            <v>123.96</v>
          </cell>
        </row>
        <row r="169">
          <cell r="D169">
            <v>264329200106</v>
          </cell>
          <cell r="E169" t="str">
            <v>ASSY. PEDAL LEVER COMPLETE</v>
          </cell>
          <cell r="F169">
            <v>164.36</v>
          </cell>
        </row>
        <row r="170">
          <cell r="D170">
            <v>264330100127</v>
          </cell>
          <cell r="E170" t="str">
            <v>ASSY.PEDAL LEVER WITH ACCL. PEDAL</v>
          </cell>
          <cell r="F170">
            <v>89.38</v>
          </cell>
        </row>
        <row r="171">
          <cell r="D171">
            <v>264330108204</v>
          </cell>
          <cell r="E171" t="str">
            <v>BRACKET (ACCL. CABLE MTG.) (B)</v>
          </cell>
          <cell r="F171">
            <v>9.65</v>
          </cell>
        </row>
        <row r="172">
          <cell r="D172">
            <v>265129100179</v>
          </cell>
          <cell r="E172" t="str">
            <v>ASSY CLUTCH PEDAL(KAIZEN)</v>
          </cell>
          <cell r="F172">
            <v>125.12</v>
          </cell>
        </row>
        <row r="173">
          <cell r="D173">
            <v>265161608251</v>
          </cell>
          <cell r="E173" t="str">
            <v>REINFORCEMENT LH STEP WELL</v>
          </cell>
          <cell r="F173">
            <v>9.7899999999999991</v>
          </cell>
        </row>
        <row r="174">
          <cell r="D174">
            <v>265161608252</v>
          </cell>
          <cell r="E174" t="str">
            <v>REINFORCEMENT RH (STEP WELL)</v>
          </cell>
          <cell r="F174">
            <v>3.75</v>
          </cell>
        </row>
        <row r="175">
          <cell r="D175">
            <v>265162600137</v>
          </cell>
          <cell r="E175" t="str">
            <v>ASSY.REINFORCEMENT (FIRE WALL)LHD</v>
          </cell>
          <cell r="F175">
            <v>309.07</v>
          </cell>
        </row>
        <row r="176">
          <cell r="D176">
            <v>265242700142</v>
          </cell>
          <cell r="E176" t="str">
            <v>HOOK ASSY FOR PARKING CABLE REAR LH</v>
          </cell>
          <cell r="F176">
            <v>8.6</v>
          </cell>
        </row>
        <row r="177">
          <cell r="D177">
            <v>267461100114</v>
          </cell>
          <cell r="E177" t="str">
            <v>NUT PLATE ASSY</v>
          </cell>
          <cell r="F177">
            <v>4.45</v>
          </cell>
        </row>
        <row r="178">
          <cell r="D178">
            <v>267462000156</v>
          </cell>
          <cell r="E178" t="str">
            <v>REINFORCEMENT ASSY,FIREWALL</v>
          </cell>
          <cell r="F178">
            <v>25.4</v>
          </cell>
        </row>
        <row r="179">
          <cell r="D179">
            <v>267462100124</v>
          </cell>
          <cell r="E179" t="str">
            <v>SUPPORT ASSY,CROSS MEMBER,RH</v>
          </cell>
          <cell r="F179">
            <v>77.69</v>
          </cell>
        </row>
        <row r="180">
          <cell r="D180">
            <v>267462103301</v>
          </cell>
          <cell r="E180" t="str">
            <v>REINFORCEMENT BRACKET</v>
          </cell>
          <cell r="F180">
            <v>15.13</v>
          </cell>
        </row>
        <row r="181">
          <cell r="D181">
            <v>269929108278</v>
          </cell>
          <cell r="E181" t="str">
            <v>BRACKET(CLUTCH BLEEDING HOSE SUPPORT)</v>
          </cell>
          <cell r="F181">
            <v>2.88</v>
          </cell>
        </row>
        <row r="182">
          <cell r="D182">
            <v>270529100120</v>
          </cell>
          <cell r="E182" t="str">
            <v>ASSY.BRAKE PEDAL COMPLETE-LHD</v>
          </cell>
          <cell r="F182">
            <v>199.35</v>
          </cell>
        </row>
        <row r="183">
          <cell r="D183">
            <v>270529100138</v>
          </cell>
          <cell r="E183" t="str">
            <v>ASSY. PEDAL LEVER COMPLETE</v>
          </cell>
          <cell r="F183">
            <v>210.18</v>
          </cell>
        </row>
        <row r="184">
          <cell r="D184">
            <v>270530100108</v>
          </cell>
          <cell r="E184" t="str">
            <v>ASSY.ACCELERATOR PEDAL WITH BRACKET</v>
          </cell>
          <cell r="F184">
            <v>154.71</v>
          </cell>
        </row>
        <row r="185">
          <cell r="D185">
            <v>277615608202</v>
          </cell>
          <cell r="E185" t="str">
            <v>BRACKET FOR CIGAR COIL BRANCH SUPPORT 69</v>
          </cell>
          <cell r="F185">
            <v>3.26</v>
          </cell>
        </row>
        <row r="186">
          <cell r="D186">
            <v>277615608206</v>
          </cell>
          <cell r="E186" t="str">
            <v>BRACKET FOR W/H BRANCH CAM SENSOR 697/49</v>
          </cell>
          <cell r="F186">
            <v>1.68</v>
          </cell>
        </row>
        <row r="187">
          <cell r="D187">
            <v>277615608207</v>
          </cell>
          <cell r="E187" t="str">
            <v>BRACKET FOR W/H SUPPORT AT WATER INLET 6</v>
          </cell>
          <cell r="F187">
            <v>2.8</v>
          </cell>
        </row>
        <row r="188">
          <cell r="D188">
            <v>277615608210</v>
          </cell>
          <cell r="E188" t="str">
            <v>BRACKET-2 FOR W/H SUPPORT ON INTAKE MANI</v>
          </cell>
          <cell r="F188">
            <v>16.75</v>
          </cell>
        </row>
        <row r="189">
          <cell r="D189">
            <v>277615608211</v>
          </cell>
          <cell r="E189" t="str">
            <v>BRACKET FOR LAMDBA SENSOR BRANCH SUPPORT</v>
          </cell>
          <cell r="F189">
            <v>4.53</v>
          </cell>
        </row>
        <row r="190">
          <cell r="D190">
            <v>278329100128</v>
          </cell>
          <cell r="E190" t="str">
            <v>ASSY BRAKE PEDAL COMPLETE</v>
          </cell>
          <cell r="F190">
            <v>125.53</v>
          </cell>
        </row>
        <row r="191">
          <cell r="D191">
            <v>278620140106</v>
          </cell>
          <cell r="E191" t="str">
            <v>SSY.BRACKET-RH(TOP)FOR FAN RING MTG.</v>
          </cell>
          <cell r="F191">
            <v>59.44</v>
          </cell>
        </row>
        <row r="192">
          <cell r="D192">
            <v>278620140114</v>
          </cell>
          <cell r="E192" t="str">
            <v>ASSY.BRACKET LH-TOP(FAN RING MTG)</v>
          </cell>
          <cell r="F192">
            <v>51.05</v>
          </cell>
        </row>
        <row r="193">
          <cell r="D193">
            <v>278907123301</v>
          </cell>
          <cell r="E193" t="str">
            <v>BRACKET,HP PUMP MTG</v>
          </cell>
          <cell r="F193">
            <v>18.100000000000001</v>
          </cell>
        </row>
        <row r="194">
          <cell r="D194">
            <v>278914103315</v>
          </cell>
          <cell r="E194" t="str">
            <v>BRACKET EGR VALVE MTG</v>
          </cell>
          <cell r="F194">
            <v>7.8</v>
          </cell>
        </row>
        <row r="195">
          <cell r="D195">
            <v>280943700189</v>
          </cell>
          <cell r="E195" t="str">
            <v>BRACKET-RELAY VALVE MOUNTING</v>
          </cell>
          <cell r="F195">
            <v>97.86</v>
          </cell>
        </row>
        <row r="196">
          <cell r="D196">
            <v>282115608206</v>
          </cell>
          <cell r="E196" t="str">
            <v>BRACKET,LAMBDA SENSOR BRANCH MTG</v>
          </cell>
          <cell r="F196">
            <v>3.5</v>
          </cell>
        </row>
        <row r="197">
          <cell r="D197">
            <v>282115608207</v>
          </cell>
          <cell r="E197" t="str">
            <v>BRACKET FOR WH SUPPORT AT GSL LOCATION 4</v>
          </cell>
          <cell r="F197">
            <v>6.39</v>
          </cell>
        </row>
        <row r="198">
          <cell r="D198">
            <v>282131407101</v>
          </cell>
          <cell r="E198" t="str">
            <v>SPACER</v>
          </cell>
          <cell r="F198">
            <v>17.12</v>
          </cell>
        </row>
        <row r="199">
          <cell r="D199">
            <v>282142403301</v>
          </cell>
          <cell r="E199" t="str">
            <v>BRACKET LCRV MTG</v>
          </cell>
          <cell r="F199">
            <v>30.96</v>
          </cell>
        </row>
        <row r="200">
          <cell r="D200">
            <v>284561300209</v>
          </cell>
          <cell r="E200" t="str">
            <v>BRACKET ASSY</v>
          </cell>
          <cell r="F200">
            <v>16.12</v>
          </cell>
        </row>
        <row r="201">
          <cell r="D201">
            <v>284566400130</v>
          </cell>
          <cell r="E201" t="str">
            <v>STRUCTURE ASSY,REAR</v>
          </cell>
          <cell r="F201">
            <v>4523.7700000000004</v>
          </cell>
        </row>
        <row r="202">
          <cell r="D202">
            <v>284566400131</v>
          </cell>
          <cell r="E202" t="str">
            <v>STRUCTURE ASSY,RH</v>
          </cell>
          <cell r="F202">
            <v>1973.35</v>
          </cell>
        </row>
        <row r="203">
          <cell r="D203">
            <v>284566400132</v>
          </cell>
          <cell r="E203" t="str">
            <v>STRUCTURE ASSY,RH</v>
          </cell>
          <cell r="F203">
            <v>1720.88</v>
          </cell>
        </row>
        <row r="204">
          <cell r="D204">
            <v>284566400133</v>
          </cell>
          <cell r="E204" t="str">
            <v>STRUCTURE ASSY,REAR</v>
          </cell>
          <cell r="F204">
            <v>2855.29</v>
          </cell>
        </row>
        <row r="205">
          <cell r="D205">
            <v>284566400134</v>
          </cell>
          <cell r="E205" t="str">
            <v>STRUCTURE ASSY,REAR</v>
          </cell>
          <cell r="F205">
            <v>1900.47</v>
          </cell>
        </row>
        <row r="206">
          <cell r="D206">
            <v>284566400135</v>
          </cell>
          <cell r="E206" t="str">
            <v>STRUCTURE ASSY,REAR</v>
          </cell>
          <cell r="F206">
            <v>246.27</v>
          </cell>
        </row>
        <row r="207">
          <cell r="D207">
            <v>284566400137</v>
          </cell>
          <cell r="E207" t="str">
            <v>STRUCTURE ASSY,LH</v>
          </cell>
          <cell r="F207">
            <v>1311.07</v>
          </cell>
        </row>
        <row r="208">
          <cell r="D208">
            <v>284566400142</v>
          </cell>
          <cell r="E208" t="str">
            <v>STRUCTURE ASSY,LH</v>
          </cell>
          <cell r="F208">
            <v>1562.32</v>
          </cell>
        </row>
        <row r="209">
          <cell r="D209">
            <v>284566438216</v>
          </cell>
          <cell r="E209" t="str">
            <v>C-CHANNEL,MIDDLE</v>
          </cell>
          <cell r="F209">
            <v>67.23</v>
          </cell>
        </row>
        <row r="210">
          <cell r="D210">
            <v>284566438223</v>
          </cell>
          <cell r="E210" t="str">
            <v>C-CHANNEL,MIDDLE</v>
          </cell>
          <cell r="F210">
            <v>70.36</v>
          </cell>
        </row>
        <row r="211">
          <cell r="D211">
            <v>284566438226</v>
          </cell>
          <cell r="E211" t="str">
            <v>C-CHANNEL,MIDDLE</v>
          </cell>
          <cell r="F211">
            <v>79.41</v>
          </cell>
        </row>
        <row r="212">
          <cell r="D212">
            <v>284566438249</v>
          </cell>
          <cell r="E212" t="str">
            <v>ANGULAR TUBE SUPPORT,REAR</v>
          </cell>
          <cell r="F212">
            <v>70.86</v>
          </cell>
        </row>
        <row r="213">
          <cell r="D213">
            <v>284588700127</v>
          </cell>
          <cell r="E213" t="str">
            <v>ASSY ENGINE HOOD COMPLETE AC VERSION.</v>
          </cell>
          <cell r="F213">
            <v>729.8</v>
          </cell>
        </row>
        <row r="214">
          <cell r="D214">
            <v>287032100197</v>
          </cell>
          <cell r="E214" t="str">
            <v>ASSY LOWER WISHBONE COMPLETE-RH (INTEGRA</v>
          </cell>
          <cell r="F214">
            <v>2535.4499999999998</v>
          </cell>
        </row>
        <row r="215">
          <cell r="D215">
            <v>287032100198</v>
          </cell>
          <cell r="E215" t="str">
            <v>ASSY LOWER WISHBONE COMPLETE - LH (INTEG</v>
          </cell>
          <cell r="F215">
            <v>2535.4499999999998</v>
          </cell>
        </row>
        <row r="216">
          <cell r="D216">
            <v>289443800196</v>
          </cell>
          <cell r="E216" t="str">
            <v>BRACKET ASSY,MODULATOR VALVE MTG</v>
          </cell>
          <cell r="F216">
            <v>79.760000000000005</v>
          </cell>
        </row>
        <row r="217">
          <cell r="D217">
            <v>289483400315</v>
          </cell>
          <cell r="E217" t="str">
            <v>ASSY MTG BKT WITH WELD NUT (EURO-V)</v>
          </cell>
          <cell r="F217">
            <v>5.45</v>
          </cell>
        </row>
        <row r="218">
          <cell r="D218">
            <v>289483404211</v>
          </cell>
          <cell r="E218" t="str">
            <v>CLAMP DIA 15</v>
          </cell>
          <cell r="F218">
            <v>2.66</v>
          </cell>
        </row>
        <row r="219">
          <cell r="D219">
            <v>289854400111</v>
          </cell>
          <cell r="E219" t="str">
            <v>BRACKET ASSY,RH</v>
          </cell>
          <cell r="F219">
            <v>57.48</v>
          </cell>
        </row>
        <row r="220">
          <cell r="D220">
            <v>289854608206</v>
          </cell>
          <cell r="E220" t="str">
            <v>BKT NEAR LIFTING HOOK</v>
          </cell>
          <cell r="F220">
            <v>6.39</v>
          </cell>
        </row>
        <row r="221">
          <cell r="D221">
            <v>289883753305</v>
          </cell>
          <cell r="E221" t="str">
            <v>BRACKET,HEATER HOSE MTG</v>
          </cell>
          <cell r="F221">
            <v>33.53</v>
          </cell>
        </row>
        <row r="222">
          <cell r="D222">
            <v>540731118202</v>
          </cell>
          <cell r="E222" t="str">
            <v>PATCH PLATE FOR FRONT SPRING TOWER</v>
          </cell>
          <cell r="F222">
            <v>3.47</v>
          </cell>
        </row>
        <row r="223">
          <cell r="D223">
            <v>540731118210</v>
          </cell>
          <cell r="E223" t="str">
            <v>REINFORCEMENT RH ON FRONT LM</v>
          </cell>
          <cell r="F223">
            <v>26.08</v>
          </cell>
        </row>
        <row r="224">
          <cell r="D224">
            <v>540731118211</v>
          </cell>
          <cell r="E224" t="str">
            <v>REINFORCEMENT,FRONT,LH ON FRONT LM</v>
          </cell>
          <cell r="F224">
            <v>24.93</v>
          </cell>
        </row>
        <row r="225">
          <cell r="D225">
            <v>540732100101</v>
          </cell>
          <cell r="E225" t="str">
            <v>ASSY STRUT MTG BRACKET - LH</v>
          </cell>
          <cell r="F225">
            <v>399.51</v>
          </cell>
        </row>
        <row r="226">
          <cell r="D226">
            <v>540732100102</v>
          </cell>
          <cell r="E226" t="str">
            <v>ASSY STRUT MTG BRACKET - RH</v>
          </cell>
          <cell r="F226">
            <v>399.51</v>
          </cell>
        </row>
        <row r="227">
          <cell r="D227">
            <v>540732108201</v>
          </cell>
          <cell r="E227" t="str">
            <v>REINFORCEMENT (FRONT SPRING TOWER REINFO</v>
          </cell>
          <cell r="F227">
            <v>23.86</v>
          </cell>
        </row>
        <row r="228">
          <cell r="D228">
            <v>540732108202</v>
          </cell>
          <cell r="E228" t="str">
            <v>REINFORCEMENT BRACKET (FRONT SPRING TOWE</v>
          </cell>
          <cell r="F228">
            <v>48.3</v>
          </cell>
        </row>
        <row r="229">
          <cell r="D229">
            <v>540732800101</v>
          </cell>
          <cell r="E229" t="str">
            <v>ASSY BRACKET (FRONT ARB MTG)</v>
          </cell>
          <cell r="F229">
            <v>36.11</v>
          </cell>
        </row>
        <row r="230">
          <cell r="D230">
            <v>550230100106</v>
          </cell>
          <cell r="E230" t="str">
            <v>BRACKET ASSY,ACCELERATOR PEDAL MTG</v>
          </cell>
          <cell r="F230">
            <v>30.81</v>
          </cell>
        </row>
        <row r="231">
          <cell r="D231">
            <v>550231410101</v>
          </cell>
          <cell r="E231" t="str">
            <v>CROSS MEMBER ASSY,CENTER BEARING MTG</v>
          </cell>
          <cell r="F231">
            <v>1363.95</v>
          </cell>
        </row>
        <row r="232">
          <cell r="D232">
            <v>550231860101</v>
          </cell>
          <cell r="E232" t="str">
            <v>CROSS MEMBER ASSY,FRONT CRASH</v>
          </cell>
          <cell r="F232">
            <v>2060.2399999999998</v>
          </cell>
        </row>
        <row r="233">
          <cell r="D233">
            <v>550232100103</v>
          </cell>
          <cell r="E233" t="str">
            <v>CROSS MEMBER</v>
          </cell>
          <cell r="F233">
            <v>1172.31</v>
          </cell>
        </row>
        <row r="234">
          <cell r="D234">
            <v>550246200116</v>
          </cell>
          <cell r="E234" t="str">
            <v>BRACKET ASSY,STG COLUMN MOUNTING</v>
          </cell>
          <cell r="F234">
            <v>269.18</v>
          </cell>
        </row>
        <row r="235">
          <cell r="D235">
            <v>550246203313</v>
          </cell>
          <cell r="E235" t="str">
            <v>SUPPORT BRACKET,COLLAPS STG COLUMN</v>
          </cell>
          <cell r="F235">
            <v>41.6</v>
          </cell>
        </row>
        <row r="236">
          <cell r="D236">
            <v>550254100102</v>
          </cell>
          <cell r="E236" t="str">
            <v>ASSY BATTERY HOLDING CLAMP</v>
          </cell>
          <cell r="F236">
            <v>34.18</v>
          </cell>
        </row>
        <row r="237">
          <cell r="D237">
            <v>550254200105</v>
          </cell>
          <cell r="E237" t="str">
            <v>ASSY RELAY AND W/W CTRL SUPPORT</v>
          </cell>
          <cell r="F237">
            <v>78.17</v>
          </cell>
        </row>
        <row r="238">
          <cell r="D238">
            <v>550254200106</v>
          </cell>
          <cell r="E238" t="str">
            <v>ASSY BCM MTG BKT</v>
          </cell>
          <cell r="F238">
            <v>52.1</v>
          </cell>
        </row>
        <row r="239">
          <cell r="D239">
            <v>550254500101</v>
          </cell>
          <cell r="E239" t="str">
            <v>ASSY. FUSE &amp; RELAY BOX MTG BKT</v>
          </cell>
          <cell r="F239">
            <v>50.93</v>
          </cell>
        </row>
        <row r="240">
          <cell r="D240">
            <v>550254600156</v>
          </cell>
          <cell r="E240" t="str">
            <v>ASSY SUPPORT BKT FOR E-V LH INTER CONNEC</v>
          </cell>
          <cell r="F240">
            <v>6.47</v>
          </cell>
        </row>
        <row r="241">
          <cell r="D241">
            <v>550254608203</v>
          </cell>
          <cell r="E241" t="str">
            <v>DOOR CONN SUPPORT LH</v>
          </cell>
          <cell r="F241">
            <v>9.44</v>
          </cell>
        </row>
        <row r="242">
          <cell r="D242">
            <v>550254608204</v>
          </cell>
          <cell r="E242" t="str">
            <v>DOOR CONN SUPPORT RH</v>
          </cell>
          <cell r="F242">
            <v>9.44</v>
          </cell>
        </row>
        <row r="243">
          <cell r="D243">
            <v>550282400107</v>
          </cell>
          <cell r="E243" t="str">
            <v>ASSY WASHAER WATER FILLING CAP SUPPORT.</v>
          </cell>
          <cell r="F243">
            <v>4.38</v>
          </cell>
        </row>
        <row r="244">
          <cell r="D244">
            <v>570609133330</v>
          </cell>
          <cell r="E244" t="str">
            <v>AIR FILTER CLEAN SIDE BKT</v>
          </cell>
          <cell r="F244">
            <v>13.4</v>
          </cell>
        </row>
        <row r="245">
          <cell r="D245">
            <v>585860100119</v>
          </cell>
          <cell r="E245" t="str">
            <v>ASSY ROOF STRUCTURE COMPLETE</v>
          </cell>
          <cell r="F245">
            <v>1052.4100000000001</v>
          </cell>
        </row>
        <row r="246">
          <cell r="D246">
            <v>585860100130</v>
          </cell>
          <cell r="E246" t="str">
            <v>CAB ASSY</v>
          </cell>
          <cell r="F246">
            <v>68.260000000000005</v>
          </cell>
        </row>
        <row r="247">
          <cell r="D247">
            <v>585860100136</v>
          </cell>
          <cell r="E247" t="str">
            <v>CAB ASSY</v>
          </cell>
          <cell r="F247">
            <v>69.48</v>
          </cell>
        </row>
        <row r="248">
          <cell r="D248">
            <v>585888400134</v>
          </cell>
          <cell r="E248" t="str">
            <v>BRACKET ASSY,SIDE MTG SUPPORT,LH</v>
          </cell>
          <cell r="F248">
            <v>13.91</v>
          </cell>
        </row>
        <row r="249">
          <cell r="D249">
            <v>585888400135</v>
          </cell>
          <cell r="E249" t="str">
            <v>BRACKET ASSY,SIDE MTG SUPPORT,RH</v>
          </cell>
          <cell r="F249">
            <v>13.9</v>
          </cell>
        </row>
        <row r="250">
          <cell r="D250" t="str">
            <v>55476016M10101</v>
          </cell>
          <cell r="E250" t="str">
            <v>ROOF BOW ASSY</v>
          </cell>
          <cell r="F250">
            <v>616.46</v>
          </cell>
        </row>
        <row r="251">
          <cell r="D251" t="str">
            <v>55556210M10124</v>
          </cell>
          <cell r="E251" t="str">
            <v>SUPPORT ASSY,CROSS MEMBER,RH</v>
          </cell>
          <cell r="F251">
            <v>84.2</v>
          </cell>
        </row>
        <row r="252">
          <cell r="D252" t="str">
            <v>5555D2A0468002</v>
          </cell>
          <cell r="E252" t="str">
            <v>CCB ASSY</v>
          </cell>
          <cell r="F252">
            <v>1177.0899999999999</v>
          </cell>
        </row>
        <row r="253">
          <cell r="D253">
            <v>252722120143</v>
          </cell>
          <cell r="E253" t="str">
            <v>BRACKET ASSY,ENGINE MTG,RH</v>
          </cell>
          <cell r="F253">
            <v>378.75</v>
          </cell>
        </row>
        <row r="254">
          <cell r="D254">
            <v>252722120144</v>
          </cell>
          <cell r="E254" t="str">
            <v>BRACKET ASSY,ENGINE MTG,LH</v>
          </cell>
          <cell r="F254">
            <v>533.95000000000005</v>
          </cell>
        </row>
        <row r="255">
          <cell r="D255">
            <v>3122641410</v>
          </cell>
          <cell r="E255" t="str">
            <v>FRONT COVER</v>
          </cell>
          <cell r="F255">
            <v>24.27</v>
          </cell>
        </row>
        <row r="256">
          <cell r="D256">
            <v>3125800085</v>
          </cell>
          <cell r="E256" t="str">
            <v>ASSY ADJUSTING FORK- FUEL INJECTION PUMP</v>
          </cell>
          <cell r="F256">
            <v>34.200000000000003</v>
          </cell>
        </row>
        <row r="257">
          <cell r="D257">
            <v>3172670008</v>
          </cell>
          <cell r="E257" t="str">
            <v>BALL PIECE</v>
          </cell>
          <cell r="F257">
            <v>10.61</v>
          </cell>
        </row>
        <row r="258">
          <cell r="D258">
            <v>12580600849</v>
          </cell>
          <cell r="E258" t="str">
            <v>TAB WASHER 8.4 TS17730</v>
          </cell>
          <cell r="F258">
            <v>36.590000000000003</v>
          </cell>
        </row>
        <row r="259">
          <cell r="D259">
            <v>215331700141</v>
          </cell>
          <cell r="E259" t="str">
            <v>CHANNEL ASSY (RUPD)</v>
          </cell>
          <cell r="F259">
            <v>1135.55</v>
          </cell>
        </row>
        <row r="260">
          <cell r="D260">
            <v>215332308201</v>
          </cell>
          <cell r="E260" t="str">
            <v>SHOCK ABSORBER BRACKET (BOTTOM LH)</v>
          </cell>
          <cell r="F260">
            <v>48.17</v>
          </cell>
        </row>
        <row r="261">
          <cell r="D261">
            <v>215332308202</v>
          </cell>
          <cell r="E261" t="str">
            <v>SHOCK ABSORBER BRACKET (BOTTOM RH)</v>
          </cell>
          <cell r="F261">
            <v>48.17</v>
          </cell>
        </row>
        <row r="262">
          <cell r="D262">
            <v>215340300106</v>
          </cell>
          <cell r="E262" t="str">
            <v>BRACKET ASSY,SPARE WHEEL CARRIER MTG</v>
          </cell>
          <cell r="F262">
            <v>1472.72</v>
          </cell>
        </row>
        <row r="263">
          <cell r="D263">
            <v>215340307102</v>
          </cell>
          <cell r="E263" t="str">
            <v>SPACER PLATE-LH</v>
          </cell>
          <cell r="F263">
            <v>106.7</v>
          </cell>
        </row>
        <row r="264">
          <cell r="D264">
            <v>215342300132</v>
          </cell>
          <cell r="E264" t="str">
            <v>ASSY. BRACKET-LH</v>
          </cell>
          <cell r="F264">
            <v>549.23</v>
          </cell>
        </row>
        <row r="265">
          <cell r="D265">
            <v>215342300133</v>
          </cell>
          <cell r="E265" t="str">
            <v>ASSY. BRACKET RH</v>
          </cell>
          <cell r="F265">
            <v>548.11</v>
          </cell>
        </row>
        <row r="266">
          <cell r="D266">
            <v>215389100138</v>
          </cell>
          <cell r="E266" t="str">
            <v>ASSY SUPPORT BOTTOM (MUDGUARD).</v>
          </cell>
          <cell r="F266">
            <v>156.46</v>
          </cell>
        </row>
        <row r="267">
          <cell r="D267">
            <v>215389110103</v>
          </cell>
          <cell r="E267" t="str">
            <v>BRACKET ASSY,MUDGUARD MTG,LH</v>
          </cell>
          <cell r="F267">
            <v>711.39</v>
          </cell>
        </row>
        <row r="268">
          <cell r="D268">
            <v>215389110104</v>
          </cell>
          <cell r="E268" t="str">
            <v>BRACKET ASSY,MUDGUARD MTG,RH</v>
          </cell>
          <cell r="F268">
            <v>711.34</v>
          </cell>
        </row>
        <row r="269">
          <cell r="D269">
            <v>217926810104</v>
          </cell>
          <cell r="E269" t="str">
            <v>ASSY BRACKET G S LEVER (W/POWER STG)</v>
          </cell>
          <cell r="F269">
            <v>1067.45</v>
          </cell>
        </row>
        <row r="270">
          <cell r="D270">
            <v>217926810108</v>
          </cell>
          <cell r="E270" t="str">
            <v>ASSY BRACKET W/TOP PLATE (G S L MTG)LHD</v>
          </cell>
          <cell r="F270">
            <v>1065</v>
          </cell>
        </row>
        <row r="271">
          <cell r="D271">
            <v>217931200110</v>
          </cell>
          <cell r="E271" t="str">
            <v>ASSY RUPD BRACKET COMPLETE RH</v>
          </cell>
          <cell r="F271">
            <v>335</v>
          </cell>
        </row>
        <row r="272">
          <cell r="D272">
            <v>217931200111</v>
          </cell>
          <cell r="E272" t="str">
            <v>ASSY RUPD BRACKET COMPLETE LH</v>
          </cell>
          <cell r="F272">
            <v>335</v>
          </cell>
        </row>
        <row r="273">
          <cell r="D273">
            <v>217931700123</v>
          </cell>
          <cell r="E273" t="str">
            <v>BEAM ASSY,RUPD</v>
          </cell>
          <cell r="F273">
            <v>1005.56</v>
          </cell>
        </row>
        <row r="274">
          <cell r="D274">
            <v>217946200108</v>
          </cell>
          <cell r="E274" t="str">
            <v>ASSEMBLY BRACKET STG. GB MOUNTING</v>
          </cell>
          <cell r="F274">
            <v>1389.57</v>
          </cell>
        </row>
        <row r="275">
          <cell r="D275">
            <v>217946200120</v>
          </cell>
          <cell r="E275" t="str">
            <v>ASSY RES. TANK MTG. BKT.</v>
          </cell>
          <cell r="F275">
            <v>96.34</v>
          </cell>
        </row>
        <row r="276">
          <cell r="D276">
            <v>219029100122</v>
          </cell>
          <cell r="E276" t="str">
            <v>CLUTCH PEDAL ASSY WITH BUSH</v>
          </cell>
          <cell r="F276">
            <v>209.44</v>
          </cell>
        </row>
        <row r="277">
          <cell r="D277">
            <v>219031700129</v>
          </cell>
          <cell r="E277" t="str">
            <v>BEAM ASSY,RUPD</v>
          </cell>
          <cell r="F277">
            <v>1926.91</v>
          </cell>
        </row>
        <row r="278">
          <cell r="D278">
            <v>219509130108</v>
          </cell>
          <cell r="E278" t="str">
            <v>PROTECTIVE COVER ASSY</v>
          </cell>
          <cell r="F278">
            <v>82.21</v>
          </cell>
        </row>
        <row r="279">
          <cell r="D279">
            <v>222787903303</v>
          </cell>
          <cell r="E279" t="str">
            <v>BRACKET,AIR CONTROL VALVE MTG</v>
          </cell>
          <cell r="F279">
            <v>50.91</v>
          </cell>
        </row>
        <row r="280">
          <cell r="D280">
            <v>222870110131</v>
          </cell>
          <cell r="E280" t="str">
            <v>SUPD ASSY,LH</v>
          </cell>
          <cell r="F280">
            <v>867.96</v>
          </cell>
        </row>
        <row r="281">
          <cell r="D281">
            <v>222870110132</v>
          </cell>
          <cell r="E281" t="str">
            <v>SUPD ASSY,RH</v>
          </cell>
          <cell r="F281">
            <v>867.96</v>
          </cell>
        </row>
        <row r="282">
          <cell r="D282">
            <v>222870130135</v>
          </cell>
          <cell r="E282" t="str">
            <v>SUPD ASSY,LH</v>
          </cell>
          <cell r="F282">
            <v>1448.32</v>
          </cell>
        </row>
        <row r="283">
          <cell r="D283">
            <v>222870140132</v>
          </cell>
          <cell r="E283" t="str">
            <v>SUPD ASSY,RH</v>
          </cell>
          <cell r="F283">
            <v>1448.32</v>
          </cell>
        </row>
        <row r="284">
          <cell r="D284">
            <v>222870140208</v>
          </cell>
          <cell r="E284" t="str">
            <v>SUPD ASSY</v>
          </cell>
          <cell r="F284">
            <v>538.88</v>
          </cell>
        </row>
        <row r="285">
          <cell r="D285">
            <v>222870150119</v>
          </cell>
          <cell r="E285" t="str">
            <v>SUPD ASSY,LH</v>
          </cell>
          <cell r="F285">
            <v>747.56</v>
          </cell>
        </row>
        <row r="286">
          <cell r="D286">
            <v>222870150155</v>
          </cell>
          <cell r="E286" t="str">
            <v>SUPD ASSY,RH</v>
          </cell>
          <cell r="F286">
            <v>1112.29</v>
          </cell>
        </row>
        <row r="287">
          <cell r="D287">
            <v>222870160136</v>
          </cell>
          <cell r="E287" t="str">
            <v>SUPD ASSY,LH</v>
          </cell>
          <cell r="F287">
            <v>893.11</v>
          </cell>
        </row>
        <row r="288">
          <cell r="D288">
            <v>222870160137</v>
          </cell>
          <cell r="E288" t="str">
            <v>SUPD ASSY,RH</v>
          </cell>
          <cell r="F288">
            <v>893.11</v>
          </cell>
        </row>
        <row r="289">
          <cell r="D289">
            <v>222870160142</v>
          </cell>
          <cell r="E289" t="str">
            <v>SUPD ASSY,LH</v>
          </cell>
          <cell r="F289">
            <v>816.97</v>
          </cell>
        </row>
        <row r="290">
          <cell r="D290">
            <v>222870160143</v>
          </cell>
          <cell r="E290" t="str">
            <v>SUPD ASSY,RH</v>
          </cell>
          <cell r="F290">
            <v>816.97</v>
          </cell>
        </row>
        <row r="291">
          <cell r="D291">
            <v>222970010178</v>
          </cell>
          <cell r="E291" t="str">
            <v>BRACKET ASSY</v>
          </cell>
          <cell r="F291">
            <v>69.819999999999993</v>
          </cell>
        </row>
        <row r="292">
          <cell r="D292">
            <v>222970010183</v>
          </cell>
          <cell r="E292" t="str">
            <v>BRACKET ASSY</v>
          </cell>
          <cell r="F292">
            <v>78.63</v>
          </cell>
        </row>
        <row r="293">
          <cell r="D293">
            <v>222970011611</v>
          </cell>
          <cell r="E293" t="str">
            <v>SUPD ASSY,LH</v>
          </cell>
          <cell r="F293">
            <v>1739.65</v>
          </cell>
        </row>
        <row r="294">
          <cell r="D294">
            <v>222970011612</v>
          </cell>
          <cell r="E294" t="str">
            <v>SUPD ASSY,RH</v>
          </cell>
          <cell r="F294">
            <v>1305.6099999999999</v>
          </cell>
        </row>
        <row r="295">
          <cell r="D295">
            <v>222970100235</v>
          </cell>
          <cell r="E295" t="str">
            <v>SUPD ASSY</v>
          </cell>
          <cell r="F295">
            <v>236.76</v>
          </cell>
        </row>
        <row r="296">
          <cell r="D296">
            <v>222970100259</v>
          </cell>
          <cell r="E296" t="str">
            <v>SUPD ASSY</v>
          </cell>
          <cell r="F296">
            <v>211.78</v>
          </cell>
        </row>
        <row r="297">
          <cell r="D297">
            <v>222970100269</v>
          </cell>
          <cell r="E297" t="str">
            <v>SUPD ASSY</v>
          </cell>
          <cell r="F297">
            <v>269.97000000000003</v>
          </cell>
        </row>
        <row r="298">
          <cell r="D298">
            <v>222970120123</v>
          </cell>
          <cell r="E298" t="str">
            <v>SUPD ASSY</v>
          </cell>
          <cell r="F298">
            <v>782.82</v>
          </cell>
        </row>
        <row r="299">
          <cell r="D299">
            <v>222970130110</v>
          </cell>
          <cell r="E299" t="str">
            <v>SUPD ASSY LH</v>
          </cell>
          <cell r="F299">
            <v>2009.22</v>
          </cell>
        </row>
        <row r="300">
          <cell r="D300">
            <v>222970130111</v>
          </cell>
          <cell r="E300" t="str">
            <v>SUPD ASSY RH</v>
          </cell>
          <cell r="F300">
            <v>1404.72</v>
          </cell>
        </row>
        <row r="301">
          <cell r="D301">
            <v>222970130145</v>
          </cell>
          <cell r="E301" t="str">
            <v>SUPD ASSY LH</v>
          </cell>
          <cell r="F301">
            <v>1592.03</v>
          </cell>
        </row>
        <row r="302">
          <cell r="D302">
            <v>222970130146</v>
          </cell>
          <cell r="E302" t="str">
            <v>SUPD ASSY RH</v>
          </cell>
          <cell r="F302">
            <v>2002.39</v>
          </cell>
        </row>
        <row r="303">
          <cell r="D303">
            <v>222970130149</v>
          </cell>
          <cell r="E303" t="str">
            <v>SUPD ASSY,LH</v>
          </cell>
          <cell r="F303">
            <v>1357.45</v>
          </cell>
        </row>
        <row r="304">
          <cell r="D304">
            <v>222970130150</v>
          </cell>
          <cell r="E304" t="str">
            <v>SUPD ASSY,RH</v>
          </cell>
          <cell r="F304">
            <v>1745.82</v>
          </cell>
        </row>
        <row r="305">
          <cell r="D305">
            <v>222970130169</v>
          </cell>
          <cell r="E305" t="str">
            <v>SUPD ASSY</v>
          </cell>
          <cell r="F305">
            <v>704.03</v>
          </cell>
        </row>
        <row r="306">
          <cell r="D306">
            <v>222970130181</v>
          </cell>
          <cell r="E306" t="str">
            <v>SUPD ASSY LH</v>
          </cell>
          <cell r="F306">
            <v>2127.58</v>
          </cell>
        </row>
        <row r="307">
          <cell r="D307">
            <v>222970130182</v>
          </cell>
          <cell r="E307" t="str">
            <v>SUPD ASSY RH</v>
          </cell>
          <cell r="F307">
            <v>1887.72</v>
          </cell>
        </row>
        <row r="308">
          <cell r="D308">
            <v>222970140188</v>
          </cell>
          <cell r="E308" t="str">
            <v>SUPD ASSY,LH</v>
          </cell>
          <cell r="F308">
            <v>1504.27</v>
          </cell>
        </row>
        <row r="309">
          <cell r="D309">
            <v>222970140189</v>
          </cell>
          <cell r="E309" t="str">
            <v>SUPD ASSY,RH</v>
          </cell>
          <cell r="F309">
            <v>1504.27</v>
          </cell>
        </row>
        <row r="310">
          <cell r="D310">
            <v>222970150104</v>
          </cell>
          <cell r="E310" t="str">
            <v>SUPD ASSY,RH</v>
          </cell>
          <cell r="F310">
            <v>1906.03</v>
          </cell>
        </row>
        <row r="311">
          <cell r="D311">
            <v>222970150106</v>
          </cell>
          <cell r="E311" t="str">
            <v>SUPD ASSY</v>
          </cell>
          <cell r="F311">
            <v>857.3</v>
          </cell>
        </row>
        <row r="312">
          <cell r="D312">
            <v>222970150117</v>
          </cell>
          <cell r="E312" t="str">
            <v>SUPD ASSY,LH</v>
          </cell>
          <cell r="F312">
            <v>1358.51</v>
          </cell>
        </row>
        <row r="313">
          <cell r="D313">
            <v>222970150118</v>
          </cell>
          <cell r="E313" t="str">
            <v>SUPD ASSY,LH</v>
          </cell>
          <cell r="F313">
            <v>1914.23</v>
          </cell>
        </row>
        <row r="314">
          <cell r="D314">
            <v>222970150121</v>
          </cell>
          <cell r="E314" t="str">
            <v>SUPD ASSY,RH</v>
          </cell>
          <cell r="F314">
            <v>1914.24</v>
          </cell>
        </row>
        <row r="315">
          <cell r="D315">
            <v>222970150122</v>
          </cell>
          <cell r="E315" t="str">
            <v>SUPD ASSY</v>
          </cell>
          <cell r="F315">
            <v>867.21</v>
          </cell>
        </row>
        <row r="316">
          <cell r="D316">
            <v>222970150123</v>
          </cell>
          <cell r="E316" t="str">
            <v>SUPD ASSY</v>
          </cell>
          <cell r="F316">
            <v>854.19</v>
          </cell>
        </row>
        <row r="317">
          <cell r="D317">
            <v>222970160145</v>
          </cell>
          <cell r="E317" t="str">
            <v>SUPD ASSY</v>
          </cell>
          <cell r="F317">
            <v>513.01</v>
          </cell>
        </row>
        <row r="318">
          <cell r="D318">
            <v>222970160146</v>
          </cell>
          <cell r="E318" t="str">
            <v>SUPD ASSY,LH</v>
          </cell>
          <cell r="F318">
            <v>901.75</v>
          </cell>
        </row>
        <row r="319">
          <cell r="D319">
            <v>222970160151</v>
          </cell>
          <cell r="E319" t="str">
            <v>SUPD ASSY</v>
          </cell>
          <cell r="F319">
            <v>710.61</v>
          </cell>
        </row>
        <row r="320">
          <cell r="D320">
            <v>222970160176</v>
          </cell>
          <cell r="E320" t="str">
            <v>SUPD ASSY</v>
          </cell>
          <cell r="F320">
            <v>1589.7</v>
          </cell>
        </row>
        <row r="321">
          <cell r="D321">
            <v>222970160177</v>
          </cell>
          <cell r="E321" t="str">
            <v>SUPD ASSY</v>
          </cell>
          <cell r="F321">
            <v>1706.64</v>
          </cell>
        </row>
        <row r="322">
          <cell r="D322">
            <v>222970160188</v>
          </cell>
          <cell r="E322" t="str">
            <v>SUPD ASSY</v>
          </cell>
          <cell r="F322">
            <v>1024.33</v>
          </cell>
        </row>
        <row r="323">
          <cell r="D323">
            <v>222970228236</v>
          </cell>
          <cell r="E323" t="str">
            <v>BRACKET</v>
          </cell>
          <cell r="F323">
            <v>29.99</v>
          </cell>
        </row>
        <row r="324">
          <cell r="D324">
            <v>222970408274</v>
          </cell>
          <cell r="E324" t="str">
            <v>BRACKET</v>
          </cell>
          <cell r="F324">
            <v>37.06</v>
          </cell>
        </row>
        <row r="325">
          <cell r="D325">
            <v>250526406101</v>
          </cell>
          <cell r="E325" t="str">
            <v>LOCKING PLATE</v>
          </cell>
          <cell r="F325">
            <v>1.1000000000000001</v>
          </cell>
        </row>
        <row r="326">
          <cell r="D326">
            <v>251526718202</v>
          </cell>
          <cell r="E326" t="str">
            <v>BALL PIECE GEAR SHIFT DOME</v>
          </cell>
          <cell r="F326">
            <v>4.24</v>
          </cell>
        </row>
        <row r="327">
          <cell r="D327">
            <v>252322107101</v>
          </cell>
          <cell r="E327" t="str">
            <v>LIFTING HOOK FRONT</v>
          </cell>
          <cell r="F327">
            <v>60.57</v>
          </cell>
        </row>
        <row r="328">
          <cell r="D328">
            <v>252422150108</v>
          </cell>
          <cell r="E328" t="str">
            <v>ASSY BRACKET FRONT -RIGHT</v>
          </cell>
          <cell r="F328">
            <v>113.45</v>
          </cell>
        </row>
        <row r="329">
          <cell r="D329">
            <v>252422150109</v>
          </cell>
          <cell r="E329" t="str">
            <v>ASSY BRACKET FRONT-LEFT</v>
          </cell>
          <cell r="F329">
            <v>254.61</v>
          </cell>
        </row>
        <row r="330">
          <cell r="D330">
            <v>252503118210</v>
          </cell>
          <cell r="E330" t="str">
            <v>COVER</v>
          </cell>
          <cell r="F330">
            <v>9.82</v>
          </cell>
        </row>
        <row r="331">
          <cell r="D331">
            <v>252509140252</v>
          </cell>
          <cell r="E331" t="str">
            <v>PROTECTIVE COVER ASSY</v>
          </cell>
          <cell r="F331">
            <v>80.8</v>
          </cell>
        </row>
        <row r="332">
          <cell r="D332">
            <v>252513137101</v>
          </cell>
          <cell r="E332" t="str">
            <v>FLANGE,AIR COMPRESSOR</v>
          </cell>
          <cell r="F332">
            <v>52.8</v>
          </cell>
        </row>
        <row r="333">
          <cell r="D333">
            <v>252515140145</v>
          </cell>
          <cell r="E333" t="str">
            <v>ASSY.BRACKET(ALTR MTG)</v>
          </cell>
          <cell r="F333">
            <v>283.73</v>
          </cell>
        </row>
        <row r="334">
          <cell r="D334">
            <v>252522107108</v>
          </cell>
          <cell r="E334" t="str">
            <v>LIFTING HOOK-FRONT</v>
          </cell>
          <cell r="F334">
            <v>42.17</v>
          </cell>
        </row>
        <row r="335">
          <cell r="D335">
            <v>252523400116</v>
          </cell>
          <cell r="E335" t="str">
            <v>ASSY.BRACKET (ZF P/STRG.MTG.)</v>
          </cell>
          <cell r="F335">
            <v>233.97</v>
          </cell>
        </row>
        <row r="336">
          <cell r="D336">
            <v>252701170170</v>
          </cell>
          <cell r="E336" t="str">
            <v>ASSY BKT DIPSTIC MTG :LPT 709 TC IC</v>
          </cell>
          <cell r="F336">
            <v>61.28</v>
          </cell>
        </row>
        <row r="337">
          <cell r="D337">
            <v>252701170219</v>
          </cell>
          <cell r="E337" t="str">
            <v>ASSY BRACKET DIPSTICK MOUNTING</v>
          </cell>
          <cell r="F337">
            <v>45.32</v>
          </cell>
        </row>
        <row r="338">
          <cell r="D338">
            <v>252707143306</v>
          </cell>
          <cell r="E338" t="str">
            <v>SUPPORT BRACKET,HP LINES</v>
          </cell>
          <cell r="F338">
            <v>13.99</v>
          </cell>
        </row>
        <row r="339">
          <cell r="D339">
            <v>252709133337</v>
          </cell>
          <cell r="E339" t="str">
            <v>BRACKET(AIR FILTER MOUNTING)</v>
          </cell>
          <cell r="F339">
            <v>180.63</v>
          </cell>
        </row>
        <row r="340">
          <cell r="D340">
            <v>252709133338</v>
          </cell>
          <cell r="E340" t="str">
            <v>SUPPORT BRACKET (AIR FILTER MOUNTING)</v>
          </cell>
          <cell r="F340">
            <v>79.36</v>
          </cell>
        </row>
        <row r="341">
          <cell r="D341">
            <v>252709133339</v>
          </cell>
          <cell r="E341" t="str">
            <v>ASSY. BRACKET ( AIR INTAKE PIPE SUPPORT)</v>
          </cell>
          <cell r="F341">
            <v>493.5</v>
          </cell>
        </row>
        <row r="342">
          <cell r="D342">
            <v>252709140319</v>
          </cell>
          <cell r="E342" t="str">
            <v>BRACKET, AIR FILTER MOUNTING</v>
          </cell>
          <cell r="F342">
            <v>787.98</v>
          </cell>
        </row>
        <row r="343">
          <cell r="D343">
            <v>252713134202</v>
          </cell>
          <cell r="E343" t="str">
            <v>BRACKET</v>
          </cell>
          <cell r="F343">
            <v>3.86</v>
          </cell>
        </row>
        <row r="344">
          <cell r="D344">
            <v>252714100111</v>
          </cell>
          <cell r="E344" t="str">
            <v>BRACKET</v>
          </cell>
          <cell r="F344">
            <v>60.95</v>
          </cell>
        </row>
        <row r="345">
          <cell r="D345">
            <v>252714603322</v>
          </cell>
          <cell r="E345" t="str">
            <v>SUPPORT BRACKET,AIR INTAKE ELBOW PIPE</v>
          </cell>
          <cell r="F345">
            <v>9.52</v>
          </cell>
        </row>
        <row r="346">
          <cell r="D346">
            <v>252715140170</v>
          </cell>
          <cell r="E346" t="str">
            <v>BRACKET ASSY ALTERNATOR MTG</v>
          </cell>
          <cell r="F346">
            <v>220.49</v>
          </cell>
        </row>
        <row r="347">
          <cell r="D347">
            <v>252715140252</v>
          </cell>
          <cell r="E347" t="str">
            <v>COVER ASSY</v>
          </cell>
          <cell r="F347">
            <v>64.14</v>
          </cell>
        </row>
        <row r="348">
          <cell r="D348">
            <v>252715148229</v>
          </cell>
          <cell r="E348" t="str">
            <v>SUPPORT BRACKET</v>
          </cell>
          <cell r="F348">
            <v>103.16</v>
          </cell>
        </row>
        <row r="349">
          <cell r="D349">
            <v>252715148230</v>
          </cell>
          <cell r="E349" t="str">
            <v>SUPPORT BRACKET</v>
          </cell>
          <cell r="F349">
            <v>99.85</v>
          </cell>
        </row>
        <row r="350">
          <cell r="D350">
            <v>252720107106</v>
          </cell>
          <cell r="E350" t="str">
            <v>LIFTING HOOK,REAR</v>
          </cell>
          <cell r="F350">
            <v>79.680000000000007</v>
          </cell>
        </row>
        <row r="351">
          <cell r="D351">
            <v>252722107102</v>
          </cell>
          <cell r="E351" t="str">
            <v>LIFTING HOOK-REAR</v>
          </cell>
          <cell r="F351">
            <v>59.53</v>
          </cell>
        </row>
        <row r="352">
          <cell r="D352">
            <v>252722107104</v>
          </cell>
          <cell r="E352" t="str">
            <v>LIFTING HOOK FRONT</v>
          </cell>
          <cell r="F352">
            <v>29.47</v>
          </cell>
        </row>
        <row r="353">
          <cell r="D353">
            <v>252722107108</v>
          </cell>
          <cell r="E353" t="str">
            <v>LIFTING HOOK (REAR)</v>
          </cell>
          <cell r="F353">
            <v>66.08</v>
          </cell>
        </row>
        <row r="354">
          <cell r="D354">
            <v>252722107128</v>
          </cell>
          <cell r="E354" t="str">
            <v>LIFTING HOOK .</v>
          </cell>
          <cell r="F354">
            <v>89.41</v>
          </cell>
        </row>
        <row r="355">
          <cell r="D355">
            <v>252722107137</v>
          </cell>
          <cell r="E355" t="str">
            <v>LIFTING HOOK,FRONT</v>
          </cell>
          <cell r="F355">
            <v>59.54</v>
          </cell>
        </row>
        <row r="356">
          <cell r="D356">
            <v>252723148204</v>
          </cell>
          <cell r="E356" t="str">
            <v>SUPPORT BRACKET</v>
          </cell>
          <cell r="F356">
            <v>91.8</v>
          </cell>
        </row>
        <row r="357">
          <cell r="D357">
            <v>252750008233</v>
          </cell>
          <cell r="E357" t="str">
            <v>RADIATOR MOUNTING BRACKET:LP709 BSII EX</v>
          </cell>
          <cell r="F357">
            <v>44</v>
          </cell>
        </row>
        <row r="358">
          <cell r="D358">
            <v>252750008239</v>
          </cell>
          <cell r="E358" t="str">
            <v>BRACKET,RADIATOR MTG,RH</v>
          </cell>
          <cell r="F358">
            <v>106.54</v>
          </cell>
        </row>
        <row r="359">
          <cell r="D359">
            <v>252750008240</v>
          </cell>
          <cell r="E359" t="str">
            <v>RADIATOR MTG BRACKET (LH)</v>
          </cell>
          <cell r="F359">
            <v>106.54</v>
          </cell>
        </row>
        <row r="360">
          <cell r="D360">
            <v>252750008243</v>
          </cell>
          <cell r="E360" t="str">
            <v>BRACKET,RADIATOR MTG</v>
          </cell>
          <cell r="F360">
            <v>56.88</v>
          </cell>
        </row>
        <row r="361">
          <cell r="D361">
            <v>252750008244</v>
          </cell>
          <cell r="E361" t="str">
            <v>RADIATOR MOUNTING BRACKET LH SIDE</v>
          </cell>
          <cell r="F361">
            <v>56.87</v>
          </cell>
        </row>
        <row r="362">
          <cell r="D362">
            <v>252750108264</v>
          </cell>
          <cell r="E362" t="str">
            <v>SUPPORT PLATE (FOR COOLANT FILLING PIPE)</v>
          </cell>
          <cell r="F362">
            <v>15.32</v>
          </cell>
        </row>
        <row r="363">
          <cell r="D363">
            <v>252750108266</v>
          </cell>
          <cell r="E363" t="str">
            <v>BRACKET:FILLER PIPE MOUNTING:497 IV</v>
          </cell>
          <cell r="F363">
            <v>18.07</v>
          </cell>
        </row>
        <row r="364">
          <cell r="D364">
            <v>253401170169</v>
          </cell>
          <cell r="E364" t="str">
            <v>ASSY BRACKET OIL SEPARATOR MOUNTING</v>
          </cell>
          <cell r="F364">
            <v>76.150000000000006</v>
          </cell>
        </row>
        <row r="365">
          <cell r="D365">
            <v>253401177101</v>
          </cell>
          <cell r="E365" t="str">
            <v>FLANGE</v>
          </cell>
          <cell r="F365">
            <v>76.510000000000005</v>
          </cell>
        </row>
        <row r="366">
          <cell r="D366">
            <v>253407143304</v>
          </cell>
          <cell r="E366" t="str">
            <v>ASSY. BRACKET FOR W/H (COMMON RAIL)</v>
          </cell>
          <cell r="F366">
            <v>25.71</v>
          </cell>
        </row>
        <row r="367">
          <cell r="D367">
            <v>253409140244</v>
          </cell>
          <cell r="E367" t="str">
            <v>SUPPORT BRACKET,DIRTY SIDE PIPE</v>
          </cell>
          <cell r="F367">
            <v>140.01</v>
          </cell>
        </row>
        <row r="368">
          <cell r="D368">
            <v>253409150122</v>
          </cell>
          <cell r="E368" t="str">
            <v>BRACKET,AIR FILTER MTG</v>
          </cell>
          <cell r="F368">
            <v>691.76</v>
          </cell>
        </row>
        <row r="369">
          <cell r="D369">
            <v>253418170322</v>
          </cell>
          <cell r="E369" t="str">
            <v>BRACKET</v>
          </cell>
          <cell r="F369">
            <v>11.04</v>
          </cell>
        </row>
        <row r="370">
          <cell r="D370">
            <v>253420103301</v>
          </cell>
          <cell r="E370" t="str">
            <v>CLAMP (COOLANT LINE SIDE)</v>
          </cell>
          <cell r="F370">
            <v>5.76</v>
          </cell>
        </row>
        <row r="371">
          <cell r="D371">
            <v>253420103302</v>
          </cell>
          <cell r="E371" t="str">
            <v>CLAMP (COOLANT LINE REAR)</v>
          </cell>
          <cell r="F371">
            <v>5.29</v>
          </cell>
        </row>
        <row r="372">
          <cell r="D372">
            <v>253422107106</v>
          </cell>
          <cell r="E372" t="str">
            <v>LIFTING HOOK REAR (DICOR)</v>
          </cell>
          <cell r="F372">
            <v>76.11</v>
          </cell>
        </row>
        <row r="373">
          <cell r="D373">
            <v>253422107120</v>
          </cell>
          <cell r="E373" t="str">
            <v>LIFTING HOOK</v>
          </cell>
          <cell r="F373">
            <v>109.05</v>
          </cell>
        </row>
        <row r="374">
          <cell r="D374">
            <v>253422107123</v>
          </cell>
          <cell r="E374" t="str">
            <v>ENGINE LIFTING HOOK,REAR</v>
          </cell>
          <cell r="F374">
            <v>86.51</v>
          </cell>
        </row>
        <row r="375">
          <cell r="D375">
            <v>253422120139</v>
          </cell>
          <cell r="E375" t="str">
            <v>BRACKET ASSY,ENGINE MTG,LH</v>
          </cell>
          <cell r="F375">
            <v>1259.98</v>
          </cell>
        </row>
        <row r="376">
          <cell r="D376">
            <v>253422120140</v>
          </cell>
          <cell r="E376" t="str">
            <v>BRACKET ASSY,ENGINE MTG,RH</v>
          </cell>
          <cell r="F376">
            <v>962.89</v>
          </cell>
        </row>
        <row r="377">
          <cell r="D377">
            <v>253423400139</v>
          </cell>
          <cell r="E377" t="str">
            <v>ASSY BRACKET(FOR PS PUMP):SFC410 BS-IIIL</v>
          </cell>
          <cell r="F377">
            <v>549.37</v>
          </cell>
        </row>
        <row r="378">
          <cell r="D378">
            <v>253425108206</v>
          </cell>
          <cell r="E378" t="str">
            <v>COVER ( FOR INSPECTION WINDOW )</v>
          </cell>
          <cell r="F378">
            <v>6.91</v>
          </cell>
        </row>
        <row r="379">
          <cell r="D379">
            <v>253450103308</v>
          </cell>
          <cell r="E379" t="str">
            <v>BRACKET-AUX.TANK MOUNTING.</v>
          </cell>
          <cell r="F379">
            <v>11.2</v>
          </cell>
        </row>
        <row r="380">
          <cell r="D380">
            <v>253450103315</v>
          </cell>
          <cell r="E380" t="str">
            <v>BRACKET RAD MTG (RH-BOTTOM MTG)</v>
          </cell>
          <cell r="F380">
            <v>42.13</v>
          </cell>
        </row>
        <row r="381">
          <cell r="D381">
            <v>253450103316</v>
          </cell>
          <cell r="E381" t="str">
            <v>BRACKET RAD MTG (LH-BOTTOM MTG)</v>
          </cell>
          <cell r="F381">
            <v>42.13</v>
          </cell>
        </row>
        <row r="382">
          <cell r="D382">
            <v>253450108212</v>
          </cell>
          <cell r="E382" t="str">
            <v>SUPPORT PLATE (FOR NOLOSS TANK)LP407</v>
          </cell>
          <cell r="F382">
            <v>12.44</v>
          </cell>
        </row>
        <row r="383">
          <cell r="D383">
            <v>257347500105</v>
          </cell>
          <cell r="E383" t="str">
            <v>ASSY. SUPPORT COMPLETE</v>
          </cell>
          <cell r="F383">
            <v>301.06</v>
          </cell>
        </row>
        <row r="384">
          <cell r="D384">
            <v>257442908203</v>
          </cell>
          <cell r="E384" t="str">
            <v>BRACKET</v>
          </cell>
          <cell r="F384">
            <v>6.87</v>
          </cell>
        </row>
        <row r="385">
          <cell r="D385">
            <v>257640300111</v>
          </cell>
          <cell r="E385" t="str">
            <v>ASSY SPARE WHEEL CARRIER</v>
          </cell>
          <cell r="F385">
            <v>1789.33</v>
          </cell>
        </row>
        <row r="386">
          <cell r="D386">
            <v>259286900128</v>
          </cell>
          <cell r="E386" t="str">
            <v>ASSY RETAINER ANGLE SIDE RH</v>
          </cell>
          <cell r="F386">
            <v>30.23</v>
          </cell>
        </row>
        <row r="387">
          <cell r="D387">
            <v>259286908218</v>
          </cell>
          <cell r="E387" t="str">
            <v>RETAINER ANGLE</v>
          </cell>
          <cell r="F387">
            <v>20.65</v>
          </cell>
        </row>
        <row r="388">
          <cell r="D388">
            <v>259286908220</v>
          </cell>
          <cell r="E388" t="str">
            <v>RETAINER ANGLE</v>
          </cell>
          <cell r="F388">
            <v>45.58</v>
          </cell>
        </row>
        <row r="389">
          <cell r="D389">
            <v>263042903302</v>
          </cell>
          <cell r="E389" t="str">
            <v>BRACKET</v>
          </cell>
          <cell r="F389">
            <v>12.52</v>
          </cell>
        </row>
        <row r="390">
          <cell r="D390">
            <v>263231707115</v>
          </cell>
          <cell r="E390" t="str">
            <v>SPACER</v>
          </cell>
          <cell r="F390">
            <v>20.66</v>
          </cell>
        </row>
        <row r="391">
          <cell r="D391">
            <v>264032100105</v>
          </cell>
          <cell r="E391" t="str">
            <v>ASSY SHACKLE WITH BUSH</v>
          </cell>
          <cell r="F391">
            <v>215.4</v>
          </cell>
        </row>
        <row r="392">
          <cell r="D392">
            <v>264054200102</v>
          </cell>
          <cell r="E392" t="str">
            <v>ASSY.BRACKET.</v>
          </cell>
          <cell r="F392">
            <v>14.8</v>
          </cell>
        </row>
        <row r="393">
          <cell r="D393">
            <v>264126800204</v>
          </cell>
          <cell r="E393" t="str">
            <v>SUB. ASSY. CUP</v>
          </cell>
          <cell r="F393">
            <v>75.37</v>
          </cell>
        </row>
        <row r="394">
          <cell r="D394">
            <v>264126807153</v>
          </cell>
          <cell r="E394" t="str">
            <v>BRACKET</v>
          </cell>
          <cell r="F394">
            <v>49.17</v>
          </cell>
        </row>
        <row r="395">
          <cell r="D395">
            <v>264130100169</v>
          </cell>
          <cell r="E395" t="str">
            <v>ACCELERATOR PEDAL ASSY WITH MTG BRACKET</v>
          </cell>
          <cell r="F395">
            <v>155.53</v>
          </cell>
        </row>
        <row r="396">
          <cell r="D396">
            <v>264130108230</v>
          </cell>
          <cell r="E396" t="str">
            <v>BRACKET (ACCL. PEDAL MTG.)</v>
          </cell>
          <cell r="F396">
            <v>43.53</v>
          </cell>
        </row>
        <row r="397">
          <cell r="D397">
            <v>264130108234</v>
          </cell>
          <cell r="E397" t="str">
            <v>BRACKET,ACCELERATOR PEDAL MTG</v>
          </cell>
          <cell r="F397">
            <v>59.64</v>
          </cell>
        </row>
        <row r="398">
          <cell r="D398">
            <v>264131208266</v>
          </cell>
          <cell r="E398" t="str">
            <v>REINFORCEMENT (HELPER SPR. BRKT.)</v>
          </cell>
          <cell r="F398">
            <v>34</v>
          </cell>
        </row>
        <row r="399">
          <cell r="D399">
            <v>264131300102</v>
          </cell>
          <cell r="E399" t="str">
            <v>ASSY.BRACKET (FRONT SPRING BUMP STOP.)</v>
          </cell>
          <cell r="F399">
            <v>64.55</v>
          </cell>
        </row>
        <row r="400">
          <cell r="D400">
            <v>264131300103</v>
          </cell>
          <cell r="E400" t="str">
            <v>REINFORCEMENT ASSY</v>
          </cell>
          <cell r="F400">
            <v>69.400000000000006</v>
          </cell>
        </row>
        <row r="401">
          <cell r="D401">
            <v>264131308201</v>
          </cell>
          <cell r="E401" t="str">
            <v>BRACKET(FRONT SPRG.BUMP STOPPER)</v>
          </cell>
          <cell r="F401">
            <v>30.13</v>
          </cell>
        </row>
        <row r="402">
          <cell r="D402">
            <v>264140300106</v>
          </cell>
          <cell r="E402" t="str">
            <v>ASSY.SPARE WHEEL CARRIER</v>
          </cell>
          <cell r="F402">
            <v>908.38</v>
          </cell>
        </row>
        <row r="403">
          <cell r="D403">
            <v>264140300111</v>
          </cell>
          <cell r="E403" t="str">
            <v>ASSY.SPARE WHEEL CARRIER</v>
          </cell>
          <cell r="F403">
            <v>820.11</v>
          </cell>
        </row>
        <row r="404">
          <cell r="D404">
            <v>264142310130</v>
          </cell>
          <cell r="E404" t="str">
            <v>BRACKET ASSY,ACTUATOR MTG,REAR-LH</v>
          </cell>
          <cell r="F404">
            <v>410.47</v>
          </cell>
        </row>
        <row r="405">
          <cell r="D405">
            <v>264146200180</v>
          </cell>
          <cell r="E405" t="str">
            <v>ASSY STEERING GEAR BOX MTG BRACKET (LHD)</v>
          </cell>
          <cell r="F405">
            <v>933.73</v>
          </cell>
        </row>
        <row r="406">
          <cell r="D406">
            <v>264147600126</v>
          </cell>
          <cell r="E406" t="str">
            <v>ASSY.BRACKET</v>
          </cell>
          <cell r="F406">
            <v>100.98</v>
          </cell>
        </row>
        <row r="407">
          <cell r="D407">
            <v>264149200134</v>
          </cell>
          <cell r="E407" t="str">
            <v>BRACKET ASSY</v>
          </cell>
          <cell r="F407">
            <v>13</v>
          </cell>
        </row>
        <row r="408">
          <cell r="D408">
            <v>264149200135</v>
          </cell>
          <cell r="E408" t="str">
            <v>ASSY.BRACKET</v>
          </cell>
          <cell r="F408">
            <v>13.55</v>
          </cell>
        </row>
        <row r="409">
          <cell r="D409">
            <v>264154100107</v>
          </cell>
          <cell r="E409" t="str">
            <v>ASSY SUPPORT</v>
          </cell>
          <cell r="F409">
            <v>211.37</v>
          </cell>
        </row>
        <row r="410">
          <cell r="D410">
            <v>264154608232</v>
          </cell>
          <cell r="E410" t="str">
            <v>BRACKET TAIL WIREING HARNESS CLAMPING.</v>
          </cell>
          <cell r="F410">
            <v>4.0999999999999996</v>
          </cell>
        </row>
        <row r="411">
          <cell r="D411">
            <v>264160100129</v>
          </cell>
          <cell r="E411" t="str">
            <v>ASSY GUSSET LH FRONT REINFORCEMENT</v>
          </cell>
          <cell r="F411">
            <v>11.06</v>
          </cell>
        </row>
        <row r="412">
          <cell r="D412">
            <v>264160100130</v>
          </cell>
          <cell r="E412" t="str">
            <v>ASSY GUSSET RH FRONT REINFORCEMENT</v>
          </cell>
          <cell r="F412">
            <v>11.06</v>
          </cell>
        </row>
        <row r="413">
          <cell r="D413">
            <v>264163107601</v>
          </cell>
          <cell r="E413" t="str">
            <v>TIE MEMBER.</v>
          </cell>
          <cell r="F413">
            <v>135.76</v>
          </cell>
        </row>
        <row r="414">
          <cell r="D414">
            <v>264183100119</v>
          </cell>
          <cell r="E414" t="str">
            <v>ASSY.BRACKET (PLENUM MTG.) LH</v>
          </cell>
          <cell r="F414">
            <v>28.13</v>
          </cell>
        </row>
        <row r="415">
          <cell r="D415">
            <v>264183100120</v>
          </cell>
          <cell r="E415" t="str">
            <v>ASSY.BRACKET (PLENUM MTG.) RH</v>
          </cell>
          <cell r="F415">
            <v>28.13</v>
          </cell>
        </row>
        <row r="416">
          <cell r="D416">
            <v>264184100103</v>
          </cell>
          <cell r="E416" t="str">
            <v>BRACKET ASSY,HEADBOX MTG,CENTER-LH</v>
          </cell>
          <cell r="F416">
            <v>47.93</v>
          </cell>
        </row>
        <row r="417">
          <cell r="D417">
            <v>264184100104</v>
          </cell>
          <cell r="E417" t="str">
            <v>BRACKET ASSY,HEADBOX MTG,CENTER-RH</v>
          </cell>
          <cell r="F417">
            <v>48.38</v>
          </cell>
        </row>
        <row r="418">
          <cell r="D418">
            <v>264188500199</v>
          </cell>
          <cell r="E418" t="str">
            <v>BRACKET ASSY,BUMPER MTG,LH</v>
          </cell>
          <cell r="F418">
            <v>119.81</v>
          </cell>
        </row>
        <row r="419">
          <cell r="D419">
            <v>264188510101</v>
          </cell>
          <cell r="E419" t="str">
            <v>BRACKET ASSY,BUMPER MTG,RH</v>
          </cell>
          <cell r="F419">
            <v>119.81</v>
          </cell>
        </row>
        <row r="420">
          <cell r="D420">
            <v>264189100155</v>
          </cell>
          <cell r="E420" t="str">
            <v>NUT PLATE ASSY,CAB MTG,FRONT</v>
          </cell>
          <cell r="F420">
            <v>14.85</v>
          </cell>
        </row>
        <row r="421">
          <cell r="D421">
            <v>264189100165</v>
          </cell>
          <cell r="E421" t="str">
            <v>SUPPORT ASSY,REAR MUDGUARD,BOTTOM-LH</v>
          </cell>
          <cell r="F421">
            <v>197.98</v>
          </cell>
        </row>
        <row r="422">
          <cell r="D422">
            <v>264189100166</v>
          </cell>
          <cell r="E422" t="str">
            <v>SUPPORT ASSY,REAR MUDGUARD,BOTTOM-RH</v>
          </cell>
          <cell r="F422">
            <v>197.99</v>
          </cell>
        </row>
        <row r="423">
          <cell r="D423">
            <v>264189100182</v>
          </cell>
          <cell r="E423" t="str">
            <v>ASSEMBLY BRACKET UPPER (CHASSIS SIDE)</v>
          </cell>
          <cell r="F423">
            <v>91.07</v>
          </cell>
        </row>
        <row r="424">
          <cell r="D424">
            <v>264189100189</v>
          </cell>
          <cell r="E424" t="str">
            <v>ASSY.TIE MEMBER(REAR MTG.)LHD COWL</v>
          </cell>
          <cell r="F424">
            <v>235.07</v>
          </cell>
        </row>
        <row r="425">
          <cell r="D425">
            <v>264189100193</v>
          </cell>
          <cell r="E425" t="str">
            <v>TIE MEMBER ASSY,REAR MTG</v>
          </cell>
          <cell r="F425">
            <v>231.42</v>
          </cell>
        </row>
        <row r="426">
          <cell r="D426">
            <v>264189100196</v>
          </cell>
          <cell r="E426" t="str">
            <v>ASSY.CROSS TUBE (TORSION BAR) LHD</v>
          </cell>
          <cell r="F426">
            <v>1456.84</v>
          </cell>
        </row>
        <row r="427">
          <cell r="D427">
            <v>264189110103</v>
          </cell>
          <cell r="E427" t="str">
            <v>ASSY.CROSS TUBE (TORSION BAR) RHD</v>
          </cell>
          <cell r="F427">
            <v>1321.64</v>
          </cell>
        </row>
        <row r="428">
          <cell r="D428">
            <v>264189110130</v>
          </cell>
          <cell r="E428" t="str">
            <v>SUPPORT ASSY,BOTTOM-LH</v>
          </cell>
          <cell r="F428">
            <v>148.26</v>
          </cell>
        </row>
        <row r="429">
          <cell r="D429">
            <v>264189110131</v>
          </cell>
          <cell r="E429" t="str">
            <v>SUPPORT ASSY,BOTTOM-RH</v>
          </cell>
          <cell r="F429">
            <v>148.27000000000001</v>
          </cell>
        </row>
        <row r="430">
          <cell r="D430">
            <v>264189110175</v>
          </cell>
          <cell r="E430" t="str">
            <v>ASSY MOUTING BRACKET REAR-LH</v>
          </cell>
          <cell r="F430">
            <v>618.22</v>
          </cell>
        </row>
        <row r="431">
          <cell r="D431">
            <v>264189110176</v>
          </cell>
          <cell r="E431" t="str">
            <v>ASSY MOUTING BRACKET-RH</v>
          </cell>
          <cell r="F431">
            <v>594</v>
          </cell>
        </row>
        <row r="432">
          <cell r="D432">
            <v>264189110177</v>
          </cell>
          <cell r="E432" t="str">
            <v>SUPPORT ASSY,MUDGUARD,LH</v>
          </cell>
          <cell r="F432">
            <v>209.04</v>
          </cell>
        </row>
        <row r="433">
          <cell r="D433">
            <v>264189110178</v>
          </cell>
          <cell r="E433" t="str">
            <v>SUPPORT ASSY,MUDGUARD,RH</v>
          </cell>
          <cell r="F433">
            <v>209.03</v>
          </cell>
        </row>
        <row r="434">
          <cell r="D434">
            <v>264189120149</v>
          </cell>
          <cell r="E434" t="str">
            <v>LEVER ASSY,DAMPER</v>
          </cell>
          <cell r="F434">
            <v>482.94</v>
          </cell>
        </row>
        <row r="435">
          <cell r="D435">
            <v>264189120173</v>
          </cell>
          <cell r="E435" t="str">
            <v>STUD ASSY</v>
          </cell>
          <cell r="F435">
            <v>31.2</v>
          </cell>
        </row>
        <row r="436">
          <cell r="D436">
            <v>264229500107</v>
          </cell>
          <cell r="E436" t="str">
            <v>BRACKET ASSY,SLAVE CYLINDER MTG</v>
          </cell>
          <cell r="F436">
            <v>116.55</v>
          </cell>
        </row>
        <row r="437">
          <cell r="D437">
            <v>264230100101</v>
          </cell>
          <cell r="E437" t="str">
            <v>ASSY ACC. PEDAL WITH BRACKET</v>
          </cell>
          <cell r="F437">
            <v>155.09</v>
          </cell>
        </row>
        <row r="438">
          <cell r="D438">
            <v>264247608214</v>
          </cell>
          <cell r="E438" t="str">
            <v>BRACKET FOR STRAINER MOUNTING</v>
          </cell>
          <cell r="F438">
            <v>12.21</v>
          </cell>
        </row>
        <row r="439">
          <cell r="D439">
            <v>264254608207</v>
          </cell>
          <cell r="E439" t="str">
            <v>GEAR BOX MTG BRKT (L-TYPE)</v>
          </cell>
          <cell r="F439">
            <v>1.98</v>
          </cell>
        </row>
        <row r="440">
          <cell r="D440">
            <v>264340308201</v>
          </cell>
          <cell r="E440" t="str">
            <v>REINFORCEMENT</v>
          </cell>
          <cell r="F440">
            <v>30.83</v>
          </cell>
        </row>
        <row r="441">
          <cell r="D441">
            <v>264346700101</v>
          </cell>
          <cell r="E441" t="str">
            <v>BRACKET ASSY,STG GEAR BOX MTG</v>
          </cell>
          <cell r="F441">
            <v>1844.86</v>
          </cell>
        </row>
        <row r="442">
          <cell r="D442">
            <v>264349203306</v>
          </cell>
          <cell r="E442" t="str">
            <v>BRACKET</v>
          </cell>
          <cell r="F442">
            <v>192.98</v>
          </cell>
        </row>
        <row r="443">
          <cell r="D443">
            <v>264354200106</v>
          </cell>
          <cell r="E443" t="str">
            <v>ASSY.BRACKET (STARTER RELAY MTG.)</v>
          </cell>
          <cell r="F443">
            <v>43.23</v>
          </cell>
        </row>
        <row r="444">
          <cell r="D444">
            <v>264729100121</v>
          </cell>
          <cell r="E444" t="str">
            <v>LEVER ASSY WITH BUSH,CLUTCH PEDAL</v>
          </cell>
          <cell r="F444">
            <v>196.35</v>
          </cell>
        </row>
        <row r="445">
          <cell r="D445">
            <v>264729200104</v>
          </cell>
          <cell r="E445" t="str">
            <v>BRAKE PEDAL ASSY WITH BUSH</v>
          </cell>
          <cell r="F445">
            <v>182.24</v>
          </cell>
        </row>
        <row r="446">
          <cell r="D446">
            <v>264730100111</v>
          </cell>
          <cell r="E446" t="str">
            <v>BRACKET ASSY,ACCELERATOR PEDAL MTG</v>
          </cell>
          <cell r="F446">
            <v>76.290000000000006</v>
          </cell>
        </row>
        <row r="447">
          <cell r="D447">
            <v>264770160101</v>
          </cell>
          <cell r="E447" t="str">
            <v>SUPD ASSY,LH</v>
          </cell>
          <cell r="F447">
            <v>783.55</v>
          </cell>
        </row>
        <row r="448">
          <cell r="D448">
            <v>264770160102</v>
          </cell>
          <cell r="E448" t="str">
            <v>SUPD ASSY,RH</v>
          </cell>
          <cell r="F448">
            <v>783.55</v>
          </cell>
        </row>
        <row r="449">
          <cell r="D449">
            <v>265124208204</v>
          </cell>
          <cell r="E449" t="str">
            <v>OIL BAFFLE</v>
          </cell>
          <cell r="F449">
            <v>9.64</v>
          </cell>
        </row>
        <row r="450">
          <cell r="D450">
            <v>265125608202</v>
          </cell>
          <cell r="E450" t="str">
            <v>BRACKET,INSIDE</v>
          </cell>
          <cell r="F450">
            <v>15.07</v>
          </cell>
        </row>
        <row r="451">
          <cell r="D451">
            <v>265132100146</v>
          </cell>
          <cell r="E451" t="str">
            <v>ASSY. SHACKLE (FRONT SPRING)</v>
          </cell>
          <cell r="F451">
            <v>102.15</v>
          </cell>
        </row>
        <row r="452">
          <cell r="D452">
            <v>265132908202</v>
          </cell>
          <cell r="E452" t="str">
            <v>CLAMP (REAR ARB.)</v>
          </cell>
          <cell r="F452">
            <v>27.53</v>
          </cell>
        </row>
        <row r="453">
          <cell r="D453">
            <v>265160110176</v>
          </cell>
          <cell r="E453" t="str">
            <v>ASSY.BRACKET(W/S WASHER BOTTLE MTG.)</v>
          </cell>
          <cell r="F453">
            <v>18.170000000000002</v>
          </cell>
        </row>
        <row r="454">
          <cell r="D454">
            <v>265162100158</v>
          </cell>
          <cell r="E454" t="str">
            <v>ASSY. X MEM.D/B COMP.WITH SIDE SUPP.RHD</v>
          </cell>
          <cell r="F454">
            <v>702.51</v>
          </cell>
        </row>
        <row r="455">
          <cell r="D455">
            <v>265162600114</v>
          </cell>
          <cell r="E455" t="str">
            <v>ASSY BRACKET</v>
          </cell>
          <cell r="F455">
            <v>26.26</v>
          </cell>
        </row>
        <row r="456">
          <cell r="D456">
            <v>265162600127</v>
          </cell>
          <cell r="E456" t="str">
            <v>ASSY.BRACKET R.H.(WHEEL BOX MTG)</v>
          </cell>
          <cell r="F456">
            <v>33.65</v>
          </cell>
        </row>
        <row r="457">
          <cell r="D457">
            <v>265231700113</v>
          </cell>
          <cell r="E457" t="str">
            <v>RIB,RUPD BKT-TABLE DRG</v>
          </cell>
          <cell r="F457">
            <v>840.43</v>
          </cell>
        </row>
        <row r="458">
          <cell r="D458">
            <v>265231700114</v>
          </cell>
          <cell r="E458" t="str">
            <v>BEAM ASSY,RUPD</v>
          </cell>
          <cell r="F458">
            <v>693.83</v>
          </cell>
        </row>
        <row r="459">
          <cell r="D459">
            <v>265432130164</v>
          </cell>
          <cell r="E459" t="str">
            <v>ASSY LOWER WISHBONE COMP RH(MECH STG)</v>
          </cell>
          <cell r="F459">
            <v>1643.63</v>
          </cell>
        </row>
        <row r="460">
          <cell r="D460">
            <v>265432130165</v>
          </cell>
          <cell r="E460" t="str">
            <v>ASSY LOWER WISHBONE COMP LH(MECH STG)</v>
          </cell>
          <cell r="F460">
            <v>1643.63</v>
          </cell>
        </row>
        <row r="461">
          <cell r="D461">
            <v>265442700178</v>
          </cell>
          <cell r="E461" t="str">
            <v>BRACKET ASSY,EQUALIZER</v>
          </cell>
          <cell r="F461">
            <v>102.83</v>
          </cell>
        </row>
        <row r="462">
          <cell r="D462">
            <v>265458604001</v>
          </cell>
          <cell r="E462" t="str">
            <v>CLAMP-JACK HANDLE</v>
          </cell>
          <cell r="F462">
            <v>2.76</v>
          </cell>
        </row>
        <row r="463">
          <cell r="D463">
            <v>265460118203</v>
          </cell>
          <cell r="E463" t="str">
            <v>REINFORCEMENT LH(SIDE BONNET)</v>
          </cell>
          <cell r="F463">
            <v>7.15</v>
          </cell>
        </row>
        <row r="464">
          <cell r="D464">
            <v>265460118204</v>
          </cell>
          <cell r="E464" t="str">
            <v>REINFORCEMENT RH(SIDE BONNET)</v>
          </cell>
          <cell r="F464">
            <v>7.14</v>
          </cell>
        </row>
        <row r="465">
          <cell r="D465">
            <v>265461608263</v>
          </cell>
          <cell r="E465" t="str">
            <v>SPACER PLATE (TOOL BAG BRKT.MTG.)</v>
          </cell>
          <cell r="F465">
            <v>5.0999999999999996</v>
          </cell>
        </row>
        <row r="466">
          <cell r="D466">
            <v>265472208237</v>
          </cell>
          <cell r="E466" t="str">
            <v>SUPPORT,DOOR OUTER,LH</v>
          </cell>
          <cell r="F466">
            <v>6.91</v>
          </cell>
        </row>
        <row r="467">
          <cell r="D467">
            <v>265472208238</v>
          </cell>
          <cell r="E467" t="str">
            <v>SUPPORT,DOOR OUTER,RH</v>
          </cell>
          <cell r="F467">
            <v>6.9</v>
          </cell>
        </row>
        <row r="468">
          <cell r="D468">
            <v>265488708220</v>
          </cell>
          <cell r="E468" t="str">
            <v>BRACKET BONNET STAY ROD</v>
          </cell>
          <cell r="F468">
            <v>1.64</v>
          </cell>
        </row>
        <row r="469">
          <cell r="D469">
            <v>265499006502</v>
          </cell>
          <cell r="E469" t="str">
            <v>RECTANGULAR NUT M8</v>
          </cell>
          <cell r="F469">
            <v>2.2400000000000002</v>
          </cell>
        </row>
        <row r="470">
          <cell r="D470">
            <v>265731407103</v>
          </cell>
          <cell r="E470" t="str">
            <v>GUSSET</v>
          </cell>
          <cell r="F470">
            <v>45.24</v>
          </cell>
        </row>
        <row r="471">
          <cell r="D471">
            <v>265731500101</v>
          </cell>
          <cell r="E471" t="str">
            <v>PINTLE HOOK ASSY</v>
          </cell>
          <cell r="F471">
            <v>383.63</v>
          </cell>
        </row>
        <row r="472">
          <cell r="D472">
            <v>265732100118</v>
          </cell>
          <cell r="E472" t="str">
            <v>ASSY.SHACKLE WITH BUSH (FRONT)</v>
          </cell>
          <cell r="F472">
            <v>309.69</v>
          </cell>
        </row>
        <row r="473">
          <cell r="D473">
            <v>265732308224</v>
          </cell>
          <cell r="E473" t="str">
            <v>BRACKET,SHOCK ABSORBER MTG,FRONT-LOWER</v>
          </cell>
          <cell r="F473">
            <v>160.75</v>
          </cell>
        </row>
        <row r="474">
          <cell r="D474">
            <v>265732808208</v>
          </cell>
          <cell r="E474" t="str">
            <v>CLAMP</v>
          </cell>
          <cell r="F474">
            <v>14.76</v>
          </cell>
        </row>
        <row r="475">
          <cell r="D475">
            <v>265732908201</v>
          </cell>
          <cell r="E475" t="str">
            <v>BRACKET,CONNECTING LINK ASSY</v>
          </cell>
          <cell r="F475">
            <v>88.88</v>
          </cell>
        </row>
        <row r="476">
          <cell r="D476">
            <v>265742808204</v>
          </cell>
          <cell r="E476" t="str">
            <v>BRACKET (FRONT BRAKE HOSE)</v>
          </cell>
          <cell r="F476">
            <v>21.1</v>
          </cell>
        </row>
        <row r="477">
          <cell r="D477">
            <v>265749203312</v>
          </cell>
          <cell r="E477" t="str">
            <v>BRACKET,FRONT PIPE MTG</v>
          </cell>
          <cell r="F477">
            <v>353.36</v>
          </cell>
        </row>
        <row r="478">
          <cell r="D478">
            <v>265754603301</v>
          </cell>
          <cell r="E478" t="str">
            <v>BRACKET,FUSE BOX MTG</v>
          </cell>
          <cell r="F478">
            <v>63.11</v>
          </cell>
        </row>
        <row r="479">
          <cell r="D479">
            <v>265891500103</v>
          </cell>
          <cell r="E479" t="str">
            <v>ASSY.BRACKET.</v>
          </cell>
          <cell r="F479">
            <v>10.4</v>
          </cell>
        </row>
        <row r="480">
          <cell r="D480">
            <v>266031208221</v>
          </cell>
          <cell r="E480" t="str">
            <v>SUPPORT (TORSION BAR CM)</v>
          </cell>
          <cell r="F480">
            <v>4.4400000000000004</v>
          </cell>
        </row>
        <row r="481">
          <cell r="D481">
            <v>266335107101</v>
          </cell>
          <cell r="E481" t="str">
            <v>REINFORCEMENT (REAR COVER)</v>
          </cell>
          <cell r="F481">
            <v>10.94</v>
          </cell>
        </row>
        <row r="482">
          <cell r="D482">
            <v>266433758205</v>
          </cell>
          <cell r="E482" t="str">
            <v>SEAL HOLDER (INNER).</v>
          </cell>
          <cell r="F482">
            <v>45.96</v>
          </cell>
        </row>
        <row r="483">
          <cell r="D483">
            <v>266433758206</v>
          </cell>
          <cell r="E483" t="str">
            <v>SEAL HOLDER (OUTER)</v>
          </cell>
          <cell r="F483">
            <v>66.760000000000005</v>
          </cell>
        </row>
        <row r="484">
          <cell r="D484">
            <v>266535107101</v>
          </cell>
          <cell r="E484" t="str">
            <v>BRACKET-(REMOTE BREATHER)</v>
          </cell>
          <cell r="F484">
            <v>15.77</v>
          </cell>
        </row>
        <row r="485">
          <cell r="D485">
            <v>267388100101</v>
          </cell>
          <cell r="E485" t="str">
            <v>HOOK ASSY</v>
          </cell>
          <cell r="F485">
            <v>110.59</v>
          </cell>
        </row>
        <row r="486">
          <cell r="D486">
            <v>267388200105</v>
          </cell>
          <cell r="E486" t="str">
            <v>PIPE ASSY,BOTTOM MTG,LH</v>
          </cell>
          <cell r="F486">
            <v>237.9</v>
          </cell>
        </row>
        <row r="487">
          <cell r="D487">
            <v>267388200106</v>
          </cell>
          <cell r="E487" t="str">
            <v>PIPE ASSY,BOTTOM MTG,RH</v>
          </cell>
          <cell r="F487">
            <v>237.9</v>
          </cell>
        </row>
        <row r="488">
          <cell r="D488">
            <v>267388200107</v>
          </cell>
          <cell r="E488" t="str">
            <v>MOUNTING BRACKET ASSY,LH</v>
          </cell>
          <cell r="F488">
            <v>250.17</v>
          </cell>
        </row>
        <row r="489">
          <cell r="D489">
            <v>267388200108</v>
          </cell>
          <cell r="E489" t="str">
            <v>MOUNTING BRACKET ASSY,RH</v>
          </cell>
          <cell r="F489">
            <v>250.16</v>
          </cell>
        </row>
        <row r="490">
          <cell r="D490">
            <v>267389100101</v>
          </cell>
          <cell r="E490" t="str">
            <v>CROSS TUBE ASSY,TORSION BAR</v>
          </cell>
          <cell r="F490">
            <v>1323.51</v>
          </cell>
        </row>
        <row r="491">
          <cell r="D491">
            <v>267389100102</v>
          </cell>
          <cell r="E491" t="str">
            <v>ASSY.CROSS TUBE (TORSION BAR) LHD</v>
          </cell>
          <cell r="F491">
            <v>1482.38</v>
          </cell>
        </row>
        <row r="492">
          <cell r="D492">
            <v>267389100103</v>
          </cell>
          <cell r="E492" t="str">
            <v>CROSS TUBE ASSY,TORSION BAR</v>
          </cell>
          <cell r="F492">
            <v>1732.23</v>
          </cell>
        </row>
        <row r="493">
          <cell r="D493">
            <v>267389100107</v>
          </cell>
          <cell r="E493" t="str">
            <v>SUPPORT ASSY,MUDGUARD MTG,BOTTOM-RH</v>
          </cell>
          <cell r="F493">
            <v>240.77</v>
          </cell>
        </row>
        <row r="494">
          <cell r="D494">
            <v>267389120103</v>
          </cell>
          <cell r="E494" t="str">
            <v>LEVER ASSY,DAMPER</v>
          </cell>
          <cell r="F494">
            <v>424.86</v>
          </cell>
        </row>
        <row r="495">
          <cell r="D495">
            <v>267389300101</v>
          </cell>
          <cell r="E495" t="str">
            <v>HOOK ASSY</v>
          </cell>
          <cell r="F495">
            <v>41.28</v>
          </cell>
        </row>
        <row r="496">
          <cell r="D496">
            <v>267460600127</v>
          </cell>
          <cell r="E496" t="str">
            <v>REINFORCEMENT ASSY</v>
          </cell>
          <cell r="F496">
            <v>12.87</v>
          </cell>
        </row>
        <row r="497">
          <cell r="D497">
            <v>267460600129</v>
          </cell>
          <cell r="E497" t="str">
            <v>REINFORCEMENT ASSY</v>
          </cell>
          <cell r="F497">
            <v>11.7</v>
          </cell>
        </row>
        <row r="498">
          <cell r="D498">
            <v>267462100112</v>
          </cell>
          <cell r="E498" t="str">
            <v>CROSS MEMBER ASSY,DASHBOARD MTG</v>
          </cell>
          <cell r="F498">
            <v>849.7</v>
          </cell>
        </row>
        <row r="499">
          <cell r="D499">
            <v>267462610114</v>
          </cell>
          <cell r="E499" t="str">
            <v>BRACKET ASSY,LH</v>
          </cell>
          <cell r="F499">
            <v>7.3</v>
          </cell>
        </row>
        <row r="500">
          <cell r="D500">
            <v>267484100103</v>
          </cell>
          <cell r="E500" t="str">
            <v>BRACKET ASSY,HEADBOX MTG,CENTER-LH</v>
          </cell>
          <cell r="F500">
            <v>40.11</v>
          </cell>
        </row>
        <row r="501">
          <cell r="D501">
            <v>267484100104</v>
          </cell>
          <cell r="E501" t="str">
            <v>BRACKET ASSY,HEADBOX MTG,CENTER-RH</v>
          </cell>
          <cell r="F501">
            <v>39.5</v>
          </cell>
        </row>
        <row r="502">
          <cell r="D502">
            <v>269126820109</v>
          </cell>
          <cell r="E502" t="str">
            <v>ANCHOR BRACKET ASSY,SELECTION CABLE</v>
          </cell>
          <cell r="F502">
            <v>67.7</v>
          </cell>
        </row>
        <row r="503">
          <cell r="D503">
            <v>269730100112</v>
          </cell>
          <cell r="E503" t="str">
            <v>ACCL PEDAL ROD COML LHD</v>
          </cell>
          <cell r="F503">
            <v>128.37</v>
          </cell>
        </row>
        <row r="504">
          <cell r="D504">
            <v>269842700117</v>
          </cell>
          <cell r="E504" t="str">
            <v>ASSY LEVER LH</v>
          </cell>
          <cell r="F504">
            <v>259.17</v>
          </cell>
        </row>
        <row r="505">
          <cell r="D505">
            <v>269846209903</v>
          </cell>
          <cell r="E505" t="str">
            <v>BALL GUIDE HALF (L.H)</v>
          </cell>
          <cell r="F505">
            <v>1.97</v>
          </cell>
        </row>
        <row r="506">
          <cell r="D506">
            <v>270142803308</v>
          </cell>
          <cell r="E506" t="str">
            <v>BRACKET</v>
          </cell>
          <cell r="F506">
            <v>19.25</v>
          </cell>
        </row>
        <row r="507">
          <cell r="D507">
            <v>270532400109</v>
          </cell>
          <cell r="E507" t="str">
            <v>ASSY. SHACKLE (REAR)</v>
          </cell>
          <cell r="F507">
            <v>109.66</v>
          </cell>
        </row>
        <row r="508">
          <cell r="D508">
            <v>270532400114</v>
          </cell>
          <cell r="E508" t="str">
            <v>ASSY. BUMP STOP BRACKET</v>
          </cell>
          <cell r="F508">
            <v>89.07</v>
          </cell>
        </row>
        <row r="509">
          <cell r="D509">
            <v>270542700150</v>
          </cell>
          <cell r="E509" t="str">
            <v>ASSY BRACKET (REAR CABLE)</v>
          </cell>
          <cell r="F509">
            <v>237.55</v>
          </cell>
        </row>
        <row r="510">
          <cell r="D510">
            <v>270542700151</v>
          </cell>
          <cell r="E510" t="str">
            <v>ASSY. BRACKET (FRONT CABLE)</v>
          </cell>
          <cell r="F510">
            <v>51.66</v>
          </cell>
        </row>
        <row r="511">
          <cell r="D511">
            <v>270547500191</v>
          </cell>
          <cell r="E511" t="str">
            <v>BRACKET ASSY WITH RUBBER,CYL MTG</v>
          </cell>
          <cell r="F511">
            <v>618.04</v>
          </cell>
        </row>
        <row r="512">
          <cell r="D512">
            <v>270554100113</v>
          </cell>
          <cell r="E512" t="str">
            <v>ASSY.SUPPORT</v>
          </cell>
          <cell r="F512">
            <v>236</v>
          </cell>
        </row>
        <row r="513">
          <cell r="D513">
            <v>270554608206</v>
          </cell>
          <cell r="E513" t="str">
            <v>BRACKET FOR NBF PARKING &amp; W/H CLAMPING</v>
          </cell>
          <cell r="F513">
            <v>5.14</v>
          </cell>
        </row>
        <row r="514">
          <cell r="D514">
            <v>270654200104</v>
          </cell>
          <cell r="E514" t="str">
            <v>ASSY BRACKET (HORN MTG)</v>
          </cell>
          <cell r="F514">
            <v>50.03</v>
          </cell>
        </row>
        <row r="515">
          <cell r="D515">
            <v>270843700110</v>
          </cell>
          <cell r="E515" t="str">
            <v>ASSY BRACKET FOR CONNECTOR MTG</v>
          </cell>
          <cell r="F515">
            <v>94.86</v>
          </cell>
        </row>
        <row r="516">
          <cell r="D516">
            <v>274760100103</v>
          </cell>
          <cell r="E516" t="str">
            <v>ASSY.SUPPORT FRONT GRILL</v>
          </cell>
          <cell r="F516">
            <v>1130.3599999999999</v>
          </cell>
        </row>
        <row r="517">
          <cell r="D517">
            <v>274765100104</v>
          </cell>
          <cell r="E517" t="str">
            <v>ASSY.ROOF BOW FRAME</v>
          </cell>
          <cell r="F517">
            <v>507.95</v>
          </cell>
        </row>
        <row r="518">
          <cell r="D518">
            <v>274789100105</v>
          </cell>
          <cell r="E518" t="str">
            <v>ASSY.CROSS TUBE</v>
          </cell>
          <cell r="F518">
            <v>1967.35</v>
          </cell>
        </row>
        <row r="519">
          <cell r="D519">
            <v>274789110112</v>
          </cell>
          <cell r="E519" t="str">
            <v>ASSY.CAB MTG.BKT.RR COMPL-LH (COIL SUSN)</v>
          </cell>
          <cell r="F519">
            <v>967.89</v>
          </cell>
        </row>
        <row r="520">
          <cell r="D520">
            <v>274789110113</v>
          </cell>
          <cell r="E520" t="str">
            <v>ASSY.CAB MTG.BKT.RR COMPL RH (COIL SPN)N</v>
          </cell>
          <cell r="F520">
            <v>954.6</v>
          </cell>
        </row>
        <row r="521">
          <cell r="D521">
            <v>274789110127</v>
          </cell>
          <cell r="E521" t="str">
            <v>ASSY PLATE BOTTOM LATCH MTG WELDED</v>
          </cell>
          <cell r="F521">
            <v>484.61</v>
          </cell>
        </row>
        <row r="522">
          <cell r="D522">
            <v>274789110145</v>
          </cell>
          <cell r="E522" t="str">
            <v>ASSY LEVER DAMPER GUIDE COMPLETE</v>
          </cell>
          <cell r="F522">
            <v>471.13</v>
          </cell>
        </row>
        <row r="523">
          <cell r="D523">
            <v>274789110189</v>
          </cell>
          <cell r="E523" t="str">
            <v>BRACKET ASSY,MUDGUARD MTG,LH</v>
          </cell>
          <cell r="F523">
            <v>708.83</v>
          </cell>
        </row>
        <row r="524">
          <cell r="D524">
            <v>274789110190</v>
          </cell>
          <cell r="E524" t="str">
            <v>BRACKET ASSY,MUDGUARD MTG,RH</v>
          </cell>
          <cell r="F524">
            <v>708.83</v>
          </cell>
        </row>
        <row r="525">
          <cell r="D525">
            <v>274789118208</v>
          </cell>
          <cell r="E525" t="str">
            <v>PLATE (CAB MTG.BKT.FRT) (WITH FUPD FIT)</v>
          </cell>
          <cell r="F525">
            <v>89.45</v>
          </cell>
        </row>
        <row r="526">
          <cell r="D526">
            <v>274789130141</v>
          </cell>
          <cell r="E526" t="str">
            <v>BRACKET ASSY,MUDGUARD MTG,LH</v>
          </cell>
          <cell r="F526">
            <v>954.54</v>
          </cell>
        </row>
        <row r="527">
          <cell r="D527">
            <v>275754200102</v>
          </cell>
          <cell r="E527" t="str">
            <v>ASSY.BKT.COMPLT.-H/T,S/B BUZZ.&amp; WIF.IND.</v>
          </cell>
          <cell r="F527">
            <v>23.58</v>
          </cell>
        </row>
        <row r="528">
          <cell r="D528">
            <v>278231700139</v>
          </cell>
          <cell r="E528" t="str">
            <v>ASSY.CHANNEL WELDED COMPLETE</v>
          </cell>
          <cell r="F528">
            <v>1592.53</v>
          </cell>
        </row>
        <row r="529">
          <cell r="D529">
            <v>278231707137</v>
          </cell>
          <cell r="E529" t="str">
            <v>SPACER</v>
          </cell>
          <cell r="F529">
            <v>27.26</v>
          </cell>
        </row>
        <row r="530">
          <cell r="D530">
            <v>278242107101</v>
          </cell>
          <cell r="E530" t="str">
            <v>BRACKET (RELAY VALVE MOUNTING)</v>
          </cell>
          <cell r="F530">
            <v>22.99</v>
          </cell>
        </row>
        <row r="531">
          <cell r="D531">
            <v>278346200103</v>
          </cell>
          <cell r="E531" t="str">
            <v>ASSY.COLUMN WITHOUT STEERING WHEEL</v>
          </cell>
          <cell r="F531">
            <v>857.47</v>
          </cell>
        </row>
        <row r="532">
          <cell r="D532">
            <v>278509114201</v>
          </cell>
          <cell r="E532" t="str">
            <v>CLAMP</v>
          </cell>
          <cell r="F532">
            <v>5.41</v>
          </cell>
        </row>
        <row r="533">
          <cell r="D533">
            <v>278901150194</v>
          </cell>
          <cell r="E533" t="str">
            <v>BRACKET ASSY,ENGINE COVER MTG,REAR</v>
          </cell>
          <cell r="F533">
            <v>18.18</v>
          </cell>
        </row>
        <row r="534">
          <cell r="D534">
            <v>278909130172</v>
          </cell>
          <cell r="E534" t="str">
            <v>BRACKET,AIR FILTER MTG,REAR</v>
          </cell>
          <cell r="F534">
            <v>26.95</v>
          </cell>
        </row>
        <row r="535">
          <cell r="D535">
            <v>278914103307</v>
          </cell>
          <cell r="E535" t="str">
            <v>BRACKET (VACUUM RESERVOIR MOUNTING)</v>
          </cell>
          <cell r="F535">
            <v>14.53</v>
          </cell>
        </row>
        <row r="536">
          <cell r="D536">
            <v>278914113331</v>
          </cell>
          <cell r="E536" t="str">
            <v>BRACKET,VENT TUBE MTG,BOOSTER SIDE</v>
          </cell>
          <cell r="F536">
            <v>6.71</v>
          </cell>
        </row>
        <row r="537">
          <cell r="D537">
            <v>278914113368</v>
          </cell>
          <cell r="E537" t="str">
            <v>BRACKET,VENT TUBE MTG,RESERVOIR SIDE</v>
          </cell>
          <cell r="F537">
            <v>3.48</v>
          </cell>
        </row>
        <row r="538">
          <cell r="D538">
            <v>278914600141</v>
          </cell>
          <cell r="E538" t="str">
            <v>BRACKET ASSY,INTAKE PIPE MTG</v>
          </cell>
          <cell r="F538">
            <v>17.760000000000002</v>
          </cell>
        </row>
        <row r="539">
          <cell r="D539">
            <v>278914600143</v>
          </cell>
          <cell r="E539" t="str">
            <v>ADAPTER ASSY IC PIPE INATKE</v>
          </cell>
          <cell r="F539">
            <v>121.57</v>
          </cell>
        </row>
        <row r="540">
          <cell r="D540">
            <v>278949200123</v>
          </cell>
          <cell r="E540" t="str">
            <v>BRACKET ASSY</v>
          </cell>
          <cell r="F540">
            <v>7.38</v>
          </cell>
        </row>
        <row r="541">
          <cell r="D541">
            <v>280829350101</v>
          </cell>
          <cell r="E541" t="str">
            <v>BRACKET ASSY,CLUTCH BOOSTER MTG</v>
          </cell>
          <cell r="F541">
            <v>210.87</v>
          </cell>
        </row>
        <row r="542">
          <cell r="D542">
            <v>280949200104</v>
          </cell>
          <cell r="E542" t="str">
            <v>BRACKET ASSY,EXHAUST MTG</v>
          </cell>
          <cell r="F542">
            <v>70.290000000000006</v>
          </cell>
        </row>
        <row r="543">
          <cell r="D543">
            <v>280949200144</v>
          </cell>
          <cell r="E543" t="str">
            <v>ASSY. BRACKET (SUPPORT FROM ENG. BLOCK)</v>
          </cell>
          <cell r="F543">
            <v>270.16000000000003</v>
          </cell>
        </row>
        <row r="544">
          <cell r="D544">
            <v>280949203301</v>
          </cell>
          <cell r="E544" t="str">
            <v>BRACKET (EXHAUST MTG.)</v>
          </cell>
          <cell r="F544">
            <v>59.33</v>
          </cell>
        </row>
        <row r="545">
          <cell r="D545">
            <v>280949208203</v>
          </cell>
          <cell r="E545" t="str">
            <v>CLAMP (SILENCER MTG,)</v>
          </cell>
          <cell r="F545">
            <v>42.12</v>
          </cell>
        </row>
        <row r="546">
          <cell r="D546">
            <v>282130108205</v>
          </cell>
          <cell r="E546" t="str">
            <v>ACCL. PEDAL MTG. BRACKET (M/S WILLIAMS)</v>
          </cell>
          <cell r="F546">
            <v>49.65</v>
          </cell>
        </row>
        <row r="547">
          <cell r="D547">
            <v>282132100112</v>
          </cell>
          <cell r="E547" t="str">
            <v>ASSY FRONT BRACKET (FOR FRONT SPRING)</v>
          </cell>
          <cell r="F547">
            <v>422.89</v>
          </cell>
        </row>
        <row r="548">
          <cell r="D548">
            <v>282140300106</v>
          </cell>
          <cell r="E548" t="str">
            <v>ASSY SPARE WHEEL CARRIER</v>
          </cell>
          <cell r="F548">
            <v>895.64</v>
          </cell>
        </row>
        <row r="549">
          <cell r="D549">
            <v>282140300108</v>
          </cell>
          <cell r="E549" t="str">
            <v>ASSY.SPARE WHEEL CARRIER</v>
          </cell>
          <cell r="F549">
            <v>942.02</v>
          </cell>
        </row>
        <row r="550">
          <cell r="D550">
            <v>282143400102</v>
          </cell>
          <cell r="E550" t="str">
            <v>BRACKET ASSY</v>
          </cell>
          <cell r="F550">
            <v>19.73</v>
          </cell>
        </row>
        <row r="551">
          <cell r="D551">
            <v>282146200122</v>
          </cell>
          <cell r="E551" t="str">
            <v>BRACKET ASSY,STG GEAR BOX MTG</v>
          </cell>
          <cell r="F551">
            <v>936.57</v>
          </cell>
        </row>
        <row r="552">
          <cell r="D552">
            <v>282231700120</v>
          </cell>
          <cell r="E552" t="str">
            <v>BRACKET ASSY,RUPD MTG,RH</v>
          </cell>
          <cell r="F552">
            <v>157.01</v>
          </cell>
        </row>
        <row r="553">
          <cell r="D553">
            <v>282231700121</v>
          </cell>
          <cell r="E553" t="str">
            <v>BRACKET ASSY,RUPD MTG,LH</v>
          </cell>
          <cell r="F553">
            <v>157.01</v>
          </cell>
        </row>
        <row r="554">
          <cell r="D554">
            <v>282646608209</v>
          </cell>
          <cell r="E554" t="str">
            <v>BRACKET (DAMPER &amp; ARB MTG.)</v>
          </cell>
          <cell r="F554">
            <v>35.81</v>
          </cell>
        </row>
        <row r="555">
          <cell r="D555">
            <v>282654200112</v>
          </cell>
          <cell r="E555" t="str">
            <v>ASSY.CHANNEL MAGNETIC VALVE</v>
          </cell>
          <cell r="F555">
            <v>13.23</v>
          </cell>
        </row>
        <row r="556">
          <cell r="D556">
            <v>284529100205</v>
          </cell>
          <cell r="E556" t="str">
            <v>CLUTCH PEDAL ASSY WITH MTG BRACKET</v>
          </cell>
          <cell r="F556">
            <v>769.83</v>
          </cell>
        </row>
        <row r="557">
          <cell r="D557">
            <v>284529108223</v>
          </cell>
          <cell r="E557" t="str">
            <v>CMC BRACKET ON FIREWALL</v>
          </cell>
          <cell r="F557">
            <v>30.63</v>
          </cell>
        </row>
        <row r="558">
          <cell r="D558">
            <v>284546100102</v>
          </cell>
          <cell r="E558" t="str">
            <v>BRACKET,UPPER</v>
          </cell>
          <cell r="F558">
            <v>81.99</v>
          </cell>
        </row>
        <row r="559">
          <cell r="D559">
            <v>284546100104</v>
          </cell>
          <cell r="E559" t="str">
            <v>ASSY.STEERING MTG. BRACKET LOWER (RHD)</v>
          </cell>
          <cell r="F559">
            <v>66.739999999999995</v>
          </cell>
        </row>
        <row r="560">
          <cell r="D560">
            <v>284547508213</v>
          </cell>
          <cell r="E560" t="str">
            <v>FILTER MTG BKT</v>
          </cell>
          <cell r="F560">
            <v>16.32</v>
          </cell>
        </row>
        <row r="561">
          <cell r="D561">
            <v>284554820101</v>
          </cell>
          <cell r="E561" t="str">
            <v>BRACKET ASSY,WASHER BOTTLE MTG</v>
          </cell>
          <cell r="F561">
            <v>33.74</v>
          </cell>
        </row>
        <row r="562">
          <cell r="D562">
            <v>284554823301</v>
          </cell>
          <cell r="E562" t="str">
            <v>WASHER,HOSE MTG BRACKET</v>
          </cell>
          <cell r="F562">
            <v>2.2000000000000002</v>
          </cell>
        </row>
        <row r="563">
          <cell r="D563">
            <v>284561300201</v>
          </cell>
          <cell r="E563" t="str">
            <v>BRACKET ASSY</v>
          </cell>
          <cell r="F563">
            <v>13.46</v>
          </cell>
        </row>
        <row r="564">
          <cell r="D564">
            <v>284561300207</v>
          </cell>
          <cell r="E564" t="str">
            <v>BRACKET</v>
          </cell>
          <cell r="F564">
            <v>14.01</v>
          </cell>
        </row>
        <row r="565">
          <cell r="D565">
            <v>284561300208</v>
          </cell>
          <cell r="E565" t="str">
            <v>BRACKET ASSY</v>
          </cell>
          <cell r="F565">
            <v>13.34</v>
          </cell>
        </row>
        <row r="566">
          <cell r="D566">
            <v>284561300210</v>
          </cell>
          <cell r="E566" t="str">
            <v>BRACKET ASSY,PIPE MTG</v>
          </cell>
          <cell r="F566">
            <v>16.89</v>
          </cell>
        </row>
        <row r="567">
          <cell r="D567">
            <v>284561300211</v>
          </cell>
          <cell r="E567" t="str">
            <v>BRACKET ASSY,PIPE MTG</v>
          </cell>
          <cell r="F567">
            <v>13.81</v>
          </cell>
        </row>
        <row r="568">
          <cell r="D568">
            <v>284561320109</v>
          </cell>
          <cell r="E568" t="str">
            <v>BRACKET ASSY</v>
          </cell>
          <cell r="F568">
            <v>11.4</v>
          </cell>
        </row>
        <row r="569">
          <cell r="D569">
            <v>284562208254</v>
          </cell>
          <cell r="E569" t="str">
            <v>TOP MTG BKT DASH BOAD</v>
          </cell>
          <cell r="F569">
            <v>9.24</v>
          </cell>
        </row>
        <row r="570">
          <cell r="D570">
            <v>284569500122</v>
          </cell>
          <cell r="E570" t="str">
            <v>ASSY HEADLINER BEADING 3200 FLAT ROOF</v>
          </cell>
          <cell r="F570">
            <v>57.72</v>
          </cell>
        </row>
        <row r="571">
          <cell r="D571">
            <v>284588300101</v>
          </cell>
          <cell r="E571" t="str">
            <v>ASSY REAR FOOTSTEP.</v>
          </cell>
          <cell r="F571">
            <v>1461.41</v>
          </cell>
        </row>
        <row r="572">
          <cell r="D572">
            <v>284931700132</v>
          </cell>
          <cell r="E572" t="str">
            <v>ASSY FUPD CROSS BEAM</v>
          </cell>
          <cell r="F572">
            <v>2504</v>
          </cell>
        </row>
        <row r="573">
          <cell r="D573">
            <v>284949208213</v>
          </cell>
          <cell r="E573" t="str">
            <v>CLAMP(SILENCER)</v>
          </cell>
          <cell r="F573">
            <v>12.48</v>
          </cell>
        </row>
        <row r="574">
          <cell r="D574">
            <v>285426830180</v>
          </cell>
          <cell r="E574" t="str">
            <v>BRACKET ASSY,CABLE GUIDE</v>
          </cell>
          <cell r="F574">
            <v>26.16</v>
          </cell>
        </row>
        <row r="575">
          <cell r="D575">
            <v>285426830181</v>
          </cell>
          <cell r="E575" t="str">
            <v>BRACKET ASSY,CABLE GUIDE</v>
          </cell>
          <cell r="F575">
            <v>17.5</v>
          </cell>
        </row>
        <row r="576">
          <cell r="D576">
            <v>285426830182</v>
          </cell>
          <cell r="E576" t="str">
            <v>BRACKET ASSY,CABLE GUIDE</v>
          </cell>
          <cell r="F576">
            <v>20.95</v>
          </cell>
        </row>
        <row r="577">
          <cell r="D577">
            <v>285526200134</v>
          </cell>
          <cell r="E577" t="str">
            <v>BRACKET ASSY,C-MOUNT</v>
          </cell>
          <cell r="F577">
            <v>591.14</v>
          </cell>
        </row>
        <row r="578">
          <cell r="D578">
            <v>289483750116</v>
          </cell>
          <cell r="E578" t="str">
            <v>BRACKET ASSY,AC PIPE MTG</v>
          </cell>
          <cell r="F578">
            <v>19.87</v>
          </cell>
        </row>
        <row r="579">
          <cell r="D579">
            <v>289654508206</v>
          </cell>
          <cell r="E579" t="str">
            <v>FLASHER BASE BRACKET</v>
          </cell>
          <cell r="F579">
            <v>6.36</v>
          </cell>
        </row>
        <row r="580">
          <cell r="D580">
            <v>289733208201</v>
          </cell>
          <cell r="E580" t="str">
            <v>LOCK PLATE</v>
          </cell>
          <cell r="F580">
            <v>1.78</v>
          </cell>
        </row>
        <row r="581">
          <cell r="D581">
            <v>289829100128</v>
          </cell>
          <cell r="E581" t="str">
            <v>CLUTCH PEDAL ASSY WITH PEDAL BOX</v>
          </cell>
          <cell r="F581">
            <v>505.65</v>
          </cell>
        </row>
        <row r="582">
          <cell r="D582">
            <v>289829200118</v>
          </cell>
          <cell r="E582" t="str">
            <v>BRAKE PEDAL ASSY WITH CONTROL MTG BKT</v>
          </cell>
          <cell r="F582">
            <v>570</v>
          </cell>
        </row>
        <row r="583">
          <cell r="D583">
            <v>289829503308</v>
          </cell>
          <cell r="E583" t="str">
            <v>BRACKET,BRAKE PEDAL RETURN SPRING</v>
          </cell>
          <cell r="F583">
            <v>5.08</v>
          </cell>
        </row>
        <row r="584">
          <cell r="D584">
            <v>289831700109</v>
          </cell>
          <cell r="E584" t="str">
            <v>BEAM ASSY,RUPD</v>
          </cell>
          <cell r="F584">
            <v>689.74</v>
          </cell>
        </row>
        <row r="585">
          <cell r="D585">
            <v>289831900103</v>
          </cell>
          <cell r="E585" t="str">
            <v>STONE GUARD ASSY</v>
          </cell>
          <cell r="F585">
            <v>244.01</v>
          </cell>
        </row>
        <row r="586">
          <cell r="D586">
            <v>289832100130</v>
          </cell>
          <cell r="E586" t="str">
            <v>SADDLE ASSY,FRONT</v>
          </cell>
          <cell r="F586">
            <v>104.88</v>
          </cell>
        </row>
        <row r="587">
          <cell r="D587">
            <v>289832103304</v>
          </cell>
          <cell r="E587" t="str">
            <v>SADDLE BRACKET</v>
          </cell>
          <cell r="F587">
            <v>48.29</v>
          </cell>
        </row>
        <row r="588">
          <cell r="D588">
            <v>289832103305</v>
          </cell>
          <cell r="E588" t="str">
            <v>REINFORCEMENT</v>
          </cell>
          <cell r="F588">
            <v>6.5</v>
          </cell>
        </row>
        <row r="589">
          <cell r="D589">
            <v>289842700167</v>
          </cell>
          <cell r="E589" t="str">
            <v>BRACKET ASSY,RH</v>
          </cell>
          <cell r="F589">
            <v>18.41</v>
          </cell>
        </row>
        <row r="590">
          <cell r="D590">
            <v>289842700171</v>
          </cell>
          <cell r="E590" t="str">
            <v>BRACKET ASSY,LH</v>
          </cell>
          <cell r="F590">
            <v>18.41</v>
          </cell>
        </row>
        <row r="591">
          <cell r="D591">
            <v>289846600104</v>
          </cell>
          <cell r="E591" t="str">
            <v>ASSY. RESERVOIR MOUNTING BRACKET</v>
          </cell>
          <cell r="F591">
            <v>14.47</v>
          </cell>
        </row>
        <row r="592">
          <cell r="D592">
            <v>289854403301</v>
          </cell>
          <cell r="E592" t="str">
            <v>BRACKET ASSY,TAIL LAMP &amp; LICENCE PLATE</v>
          </cell>
          <cell r="F592">
            <v>29.22</v>
          </cell>
        </row>
        <row r="593">
          <cell r="D593">
            <v>289854600137</v>
          </cell>
          <cell r="E593" t="str">
            <v>BRACKET ASSY,RELAY BOX MTG</v>
          </cell>
          <cell r="F593">
            <v>53.29</v>
          </cell>
        </row>
        <row r="594">
          <cell r="D594">
            <v>289854603321</v>
          </cell>
          <cell r="E594" t="str">
            <v>BRACKET,EMS INTERCONNECTOR MTG</v>
          </cell>
          <cell r="F594">
            <v>10.02</v>
          </cell>
        </row>
        <row r="595">
          <cell r="D595">
            <v>289854603323</v>
          </cell>
          <cell r="E595" t="str">
            <v>BRACKET,CLIP MTG</v>
          </cell>
          <cell r="F595">
            <v>2.9</v>
          </cell>
        </row>
        <row r="596">
          <cell r="D596">
            <v>289854900111</v>
          </cell>
          <cell r="E596" t="str">
            <v>BRACKET ASSY,ECU MTG</v>
          </cell>
          <cell r="F596">
            <v>51.86</v>
          </cell>
        </row>
        <row r="597">
          <cell r="D597">
            <v>289858304009</v>
          </cell>
          <cell r="E597" t="str">
            <v>BRACKET ASSY,JACK MTG</v>
          </cell>
          <cell r="F597">
            <v>11.82</v>
          </cell>
        </row>
        <row r="598">
          <cell r="D598">
            <v>289858304011</v>
          </cell>
          <cell r="E598" t="str">
            <v>BRACKET ASSY,JACK MTG</v>
          </cell>
          <cell r="F598">
            <v>8.23</v>
          </cell>
        </row>
        <row r="599">
          <cell r="D599">
            <v>289870120112</v>
          </cell>
          <cell r="E599" t="str">
            <v>SUPD ASSY,LH</v>
          </cell>
          <cell r="F599">
            <v>329.49</v>
          </cell>
        </row>
        <row r="600">
          <cell r="D600">
            <v>289870120113</v>
          </cell>
          <cell r="E600" t="str">
            <v>SUPD ASSY,RH</v>
          </cell>
          <cell r="F600">
            <v>329.49</v>
          </cell>
        </row>
        <row r="601">
          <cell r="D601">
            <v>289881100111</v>
          </cell>
          <cell r="E601" t="str">
            <v>COVER ASSY,MIDDLE</v>
          </cell>
          <cell r="F601">
            <v>10.73</v>
          </cell>
        </row>
        <row r="602">
          <cell r="D602">
            <v>289883750103</v>
          </cell>
          <cell r="E602" t="str">
            <v>BRACKET ASSY WITH WELD NUT</v>
          </cell>
          <cell r="F602">
            <v>10.96</v>
          </cell>
        </row>
        <row r="603">
          <cell r="D603">
            <v>290029200102</v>
          </cell>
          <cell r="E603" t="str">
            <v>BRAKE PEDAL ASSY WITH BUSH</v>
          </cell>
          <cell r="F603">
            <v>212.81</v>
          </cell>
        </row>
        <row r="604">
          <cell r="D604">
            <v>290043700101</v>
          </cell>
          <cell r="E604" t="str">
            <v>BRACKET ASSY,APU MTG</v>
          </cell>
          <cell r="F604">
            <v>226.76</v>
          </cell>
        </row>
        <row r="605">
          <cell r="D605">
            <v>290043700172</v>
          </cell>
          <cell r="E605" t="str">
            <v>BRACKET ASSY,APU MTG</v>
          </cell>
          <cell r="F605">
            <v>203.73</v>
          </cell>
        </row>
        <row r="606">
          <cell r="D606">
            <v>290058600101</v>
          </cell>
          <cell r="E606" t="str">
            <v>BRACKET ASSY,JACK MTG</v>
          </cell>
          <cell r="F606">
            <v>128.15</v>
          </cell>
        </row>
        <row r="607">
          <cell r="D607">
            <v>290070100102</v>
          </cell>
          <cell r="E607" t="str">
            <v>SUPD ASSY,LH</v>
          </cell>
          <cell r="F607">
            <v>1886.31</v>
          </cell>
        </row>
        <row r="608">
          <cell r="D608">
            <v>290070100103</v>
          </cell>
          <cell r="E608" t="str">
            <v>SUPD ASSY,RH</v>
          </cell>
          <cell r="F608">
            <v>1465.5</v>
          </cell>
        </row>
        <row r="609">
          <cell r="D609">
            <v>290070100106</v>
          </cell>
          <cell r="E609" t="str">
            <v>SUPD ASSY,LH</v>
          </cell>
          <cell r="F609">
            <v>1802.14</v>
          </cell>
        </row>
        <row r="610">
          <cell r="D610">
            <v>290070100107</v>
          </cell>
          <cell r="E610" t="str">
            <v>SUPD ASSY,RH</v>
          </cell>
          <cell r="F610">
            <v>1802.14</v>
          </cell>
        </row>
        <row r="611">
          <cell r="D611">
            <v>290070100108</v>
          </cell>
          <cell r="E611" t="str">
            <v>SUPD ASSY</v>
          </cell>
          <cell r="F611">
            <v>819.46</v>
          </cell>
        </row>
        <row r="612">
          <cell r="D612">
            <v>290070100110</v>
          </cell>
          <cell r="E612" t="str">
            <v>SUPD ASSY,LH</v>
          </cell>
          <cell r="F612">
            <v>1882.69</v>
          </cell>
        </row>
        <row r="613">
          <cell r="D613">
            <v>290070100111</v>
          </cell>
          <cell r="E613" t="str">
            <v>SUPD ASSY,LH</v>
          </cell>
          <cell r="F613">
            <v>1470.46</v>
          </cell>
        </row>
        <row r="614">
          <cell r="D614">
            <v>290070100112</v>
          </cell>
          <cell r="E614" t="str">
            <v>SUPD ASSY,RH</v>
          </cell>
          <cell r="F614">
            <v>1200.5999999999999</v>
          </cell>
        </row>
        <row r="615">
          <cell r="D615">
            <v>290070100114</v>
          </cell>
          <cell r="E615" t="str">
            <v>SUPD ASSY,LH</v>
          </cell>
          <cell r="F615">
            <v>1613.45</v>
          </cell>
        </row>
        <row r="616">
          <cell r="D616">
            <v>350591500109</v>
          </cell>
          <cell r="E616" t="str">
            <v>GUIDE BRACKET</v>
          </cell>
          <cell r="F616">
            <v>11.52</v>
          </cell>
        </row>
        <row r="617">
          <cell r="D617">
            <v>418320153303</v>
          </cell>
          <cell r="E617" t="str">
            <v>Z BKT (HOSE CLAMPING)</v>
          </cell>
          <cell r="F617">
            <v>35.07</v>
          </cell>
        </row>
        <row r="618">
          <cell r="D618">
            <v>500426808202</v>
          </cell>
          <cell r="E618" t="str">
            <v>L-BRACKET</v>
          </cell>
          <cell r="F618">
            <v>20.66</v>
          </cell>
        </row>
        <row r="619">
          <cell r="D619">
            <v>508949200121</v>
          </cell>
          <cell r="E619" t="str">
            <v>BRACKET ASSY</v>
          </cell>
          <cell r="F619">
            <v>109.63</v>
          </cell>
        </row>
        <row r="620">
          <cell r="D620">
            <v>508949200127</v>
          </cell>
          <cell r="E620" t="str">
            <v>BRACKET ASSY,TAIL PIPE MTG</v>
          </cell>
          <cell r="F620">
            <v>227.72</v>
          </cell>
        </row>
        <row r="621">
          <cell r="D621">
            <v>508949203319</v>
          </cell>
          <cell r="E621" t="str">
            <v>BRACKET,TAIL PIPE</v>
          </cell>
          <cell r="F621">
            <v>145.72</v>
          </cell>
        </row>
        <row r="622">
          <cell r="D622">
            <v>509143700109</v>
          </cell>
          <cell r="E622" t="str">
            <v>BRACKET ASSY,APU MTG</v>
          </cell>
          <cell r="F622">
            <v>263.52999999999997</v>
          </cell>
        </row>
        <row r="623">
          <cell r="D623">
            <v>511747608202</v>
          </cell>
          <cell r="E623" t="str">
            <v>COVER</v>
          </cell>
          <cell r="F623">
            <v>34.81</v>
          </cell>
        </row>
        <row r="624">
          <cell r="D624">
            <v>511830100101</v>
          </cell>
          <cell r="E624" t="str">
            <v>BRACKET ASSY,ACCELERATOR PEDAL MTG</v>
          </cell>
          <cell r="F624">
            <v>75.790000000000006</v>
          </cell>
        </row>
        <row r="625">
          <cell r="D625">
            <v>517247608201</v>
          </cell>
          <cell r="E625" t="str">
            <v>BRACKET,FUEL PIPE MTG</v>
          </cell>
          <cell r="F625">
            <v>29.37</v>
          </cell>
        </row>
        <row r="626">
          <cell r="D626">
            <v>517849203305</v>
          </cell>
          <cell r="E626" t="str">
            <v>BRACKET,CLAMP MTG</v>
          </cell>
          <cell r="F626">
            <v>37.56</v>
          </cell>
        </row>
        <row r="627">
          <cell r="D627">
            <v>540324100103</v>
          </cell>
          <cell r="E627" t="str">
            <v>ASSY ENGINE MTG BRACKET RH (FOR EURO 5)</v>
          </cell>
          <cell r="F627">
            <v>146.09</v>
          </cell>
        </row>
        <row r="628">
          <cell r="D628">
            <v>540324100104</v>
          </cell>
          <cell r="E628" t="str">
            <v>ASSY ENG MOUNT LH (EURO 5)</v>
          </cell>
          <cell r="F628">
            <v>146.09</v>
          </cell>
        </row>
        <row r="629">
          <cell r="D629">
            <v>540324108203</v>
          </cell>
          <cell r="E629" t="str">
            <v>BOXING PLATE,ENG MTG BKT,RH (EURO V)</v>
          </cell>
          <cell r="F629">
            <v>32.82</v>
          </cell>
        </row>
        <row r="630">
          <cell r="D630">
            <v>540324108207</v>
          </cell>
          <cell r="E630" t="str">
            <v>BOTTOM BOX ENG MTG BKT(EURO 5) RH</v>
          </cell>
          <cell r="F630">
            <v>32.82</v>
          </cell>
        </row>
        <row r="631">
          <cell r="D631">
            <v>540332108230</v>
          </cell>
          <cell r="E631" t="str">
            <v>REINFORCEMENT LH RACK MTG CROSS MEMBER</v>
          </cell>
          <cell r="F631">
            <v>16.36</v>
          </cell>
        </row>
        <row r="632">
          <cell r="D632">
            <v>540332108231</v>
          </cell>
          <cell r="E632" t="str">
            <v>REINFORCEMENT RH RACK MTG CROSS MEMBER</v>
          </cell>
          <cell r="F632">
            <v>16.36</v>
          </cell>
        </row>
        <row r="633">
          <cell r="D633">
            <v>550231200126</v>
          </cell>
          <cell r="E633" t="str">
            <v>BRACKET ASSY,NOISE SHIELD MTG</v>
          </cell>
          <cell r="F633">
            <v>11.34</v>
          </cell>
        </row>
        <row r="634">
          <cell r="D634">
            <v>550231200130</v>
          </cell>
          <cell r="E634" t="str">
            <v>BRACKET ASSY,STONE GUARD MTG,FRONT</v>
          </cell>
          <cell r="F634">
            <v>3.89</v>
          </cell>
        </row>
        <row r="635">
          <cell r="D635">
            <v>550231700104</v>
          </cell>
          <cell r="E635" t="str">
            <v>RADIATOR TOP COVER ASSY.</v>
          </cell>
          <cell r="F635">
            <v>70.37</v>
          </cell>
        </row>
        <row r="636">
          <cell r="D636">
            <v>550243800139</v>
          </cell>
          <cell r="E636" t="str">
            <v>ASS.BRAKE PIPE MTG.BKT.ON FIREWALL</v>
          </cell>
          <cell r="F636">
            <v>10.49</v>
          </cell>
        </row>
        <row r="637">
          <cell r="D637">
            <v>550247100113</v>
          </cell>
          <cell r="E637" t="str">
            <v>ASSY FUEL FILTER MTG BKT</v>
          </cell>
          <cell r="F637">
            <v>54.38</v>
          </cell>
        </row>
        <row r="638">
          <cell r="D638">
            <v>550629500101</v>
          </cell>
          <cell r="E638" t="str">
            <v>BRACKET ASSY,BOOSTER MTG</v>
          </cell>
          <cell r="F638">
            <v>298.18</v>
          </cell>
        </row>
        <row r="639">
          <cell r="D639">
            <v>550629500102</v>
          </cell>
          <cell r="E639" t="str">
            <v>BRACKET ASSY,BOOSTER MTG</v>
          </cell>
          <cell r="F639">
            <v>244.22</v>
          </cell>
        </row>
        <row r="640">
          <cell r="D640">
            <v>550649200135</v>
          </cell>
          <cell r="E640" t="str">
            <v>BRACKET ASSY,FRONT PIPE MTG</v>
          </cell>
          <cell r="F640">
            <v>44.18</v>
          </cell>
        </row>
        <row r="641">
          <cell r="D641">
            <v>550654403301</v>
          </cell>
          <cell r="E641" t="str">
            <v>BRACKET ASSY,TAIL LAMP MTG,LH</v>
          </cell>
          <cell r="F641">
            <v>37.409999999999997</v>
          </cell>
        </row>
        <row r="642">
          <cell r="D642">
            <v>550654403302</v>
          </cell>
          <cell r="E642" t="str">
            <v>BRACKET ASSY,TAIL LAMP MTG,RH</v>
          </cell>
          <cell r="F642">
            <v>37.409999999999997</v>
          </cell>
        </row>
        <row r="643">
          <cell r="D643">
            <v>550654600108</v>
          </cell>
          <cell r="E643" t="str">
            <v>BRACKET ASSY(FRONT &amp; REAR ABS INLINE MTG</v>
          </cell>
          <cell r="F643">
            <v>6.78</v>
          </cell>
        </row>
        <row r="644">
          <cell r="D644">
            <v>550654608275</v>
          </cell>
          <cell r="E644" t="str">
            <v>BRACKET,CHASSIS WIRING HARNESS MTG</v>
          </cell>
          <cell r="F644">
            <v>24.34</v>
          </cell>
        </row>
        <row r="645">
          <cell r="D645">
            <v>550654608281</v>
          </cell>
          <cell r="E645" t="str">
            <v>BRACKET, GB INLINE CONNECTOR MTG</v>
          </cell>
          <cell r="F645">
            <v>1.65</v>
          </cell>
        </row>
        <row r="646">
          <cell r="D646">
            <v>550731700122</v>
          </cell>
          <cell r="E646" t="str">
            <v>FUPD CROSS BEAM ASSY</v>
          </cell>
          <cell r="F646">
            <v>1896.78</v>
          </cell>
        </row>
        <row r="647">
          <cell r="D647">
            <v>550731700123</v>
          </cell>
          <cell r="E647" t="str">
            <v>FUPD MTG,RH</v>
          </cell>
          <cell r="F647">
            <v>292.77</v>
          </cell>
        </row>
        <row r="648">
          <cell r="D648">
            <v>550731700124</v>
          </cell>
          <cell r="E648" t="str">
            <v>FUPD MTG,LH</v>
          </cell>
          <cell r="F648">
            <v>292.77</v>
          </cell>
        </row>
        <row r="649">
          <cell r="D649">
            <v>550732308212</v>
          </cell>
          <cell r="E649" t="str">
            <v>LOCK SHEET</v>
          </cell>
          <cell r="F649">
            <v>1.56</v>
          </cell>
        </row>
        <row r="650">
          <cell r="D650">
            <v>550733408203</v>
          </cell>
          <cell r="E650" t="str">
            <v>BAFFLE</v>
          </cell>
          <cell r="F650">
            <v>6.79</v>
          </cell>
        </row>
        <row r="651">
          <cell r="D651">
            <v>550740300111</v>
          </cell>
          <cell r="E651" t="str">
            <v>SPARE WHEEL CARRIER ASSY.</v>
          </cell>
          <cell r="F651">
            <v>1312.74</v>
          </cell>
        </row>
        <row r="652">
          <cell r="D652">
            <v>550742400105</v>
          </cell>
          <cell r="E652" t="str">
            <v>BRACKET ASSY LCRV PULL ROD</v>
          </cell>
          <cell r="F652">
            <v>21.39</v>
          </cell>
        </row>
        <row r="653">
          <cell r="D653">
            <v>550743700146</v>
          </cell>
          <cell r="E653" t="str">
            <v>BRACKET ASSY,HAND BRAKE VALVE MTG</v>
          </cell>
          <cell r="F653">
            <v>50.62</v>
          </cell>
        </row>
        <row r="654">
          <cell r="D654">
            <v>550743708204</v>
          </cell>
          <cell r="E654" t="str">
            <v>BRACKET QUICK RELEASE VALVE MTG</v>
          </cell>
          <cell r="F654">
            <v>23.28</v>
          </cell>
        </row>
        <row r="655">
          <cell r="D655">
            <v>550743808203</v>
          </cell>
          <cell r="E655" t="str">
            <v>BRACKET</v>
          </cell>
          <cell r="F655">
            <v>9.67</v>
          </cell>
        </row>
        <row r="656">
          <cell r="D656">
            <v>550743808216</v>
          </cell>
          <cell r="E656" t="str">
            <v>PARKING BRAKE CABLE MTG BKT</v>
          </cell>
          <cell r="F656">
            <v>5.51</v>
          </cell>
        </row>
        <row r="657">
          <cell r="D657">
            <v>550749103304</v>
          </cell>
          <cell r="E657" t="str">
            <v>BRACKET,EGP MTG</v>
          </cell>
          <cell r="F657">
            <v>188.66</v>
          </cell>
        </row>
        <row r="658">
          <cell r="D658">
            <v>550749200119</v>
          </cell>
          <cell r="E658" t="str">
            <v>ASSEMBLY SUPPORT BRACKET</v>
          </cell>
          <cell r="F658">
            <v>47.86</v>
          </cell>
        </row>
        <row r="659">
          <cell r="D659">
            <v>550754200133</v>
          </cell>
          <cell r="E659" t="str">
            <v>BRACKET ASSY (INLINE CONNECTOR MOUNTING)</v>
          </cell>
          <cell r="F659">
            <v>58.36</v>
          </cell>
        </row>
        <row r="660">
          <cell r="D660">
            <v>550754400138</v>
          </cell>
          <cell r="E660" t="str">
            <v>ASSY HEAD LAMP MTG BRKT OUTBOARD BODY SI</v>
          </cell>
          <cell r="F660">
            <v>89.41</v>
          </cell>
        </row>
        <row r="661">
          <cell r="D661">
            <v>550754400139</v>
          </cell>
          <cell r="E661" t="str">
            <v>ASSY HEAD LAMP MTG BRKT OUTBOARD BODY SI</v>
          </cell>
          <cell r="F661">
            <v>89.41</v>
          </cell>
        </row>
        <row r="662">
          <cell r="D662">
            <v>550754400202</v>
          </cell>
          <cell r="E662" t="str">
            <v>BRACKET ASSY HEADLAMP MTG LH</v>
          </cell>
          <cell r="F662">
            <v>7.47</v>
          </cell>
        </row>
        <row r="663">
          <cell r="D663">
            <v>550754400203</v>
          </cell>
          <cell r="E663" t="str">
            <v>BRACKET ASSY HEADLAMP MTG RH</v>
          </cell>
          <cell r="F663">
            <v>7.47</v>
          </cell>
        </row>
        <row r="664">
          <cell r="D664">
            <v>550754510103</v>
          </cell>
          <cell r="E664" t="str">
            <v>BRACKET ASSY(MAXI-FUSE BOX MTG FOR LPT)</v>
          </cell>
          <cell r="F664">
            <v>104.16</v>
          </cell>
        </row>
        <row r="665">
          <cell r="D665">
            <v>550754600184</v>
          </cell>
          <cell r="E665" t="str">
            <v>BRACKET ASSY (CAB TILT SW)</v>
          </cell>
          <cell r="F665">
            <v>10.92</v>
          </cell>
        </row>
        <row r="666">
          <cell r="D666">
            <v>550754608234</v>
          </cell>
          <cell r="E666" t="str">
            <v>BRACKET(5L ENG FLYWHEEL HOUSING)</v>
          </cell>
          <cell r="F666">
            <v>6.05</v>
          </cell>
        </row>
        <row r="667">
          <cell r="D667">
            <v>550840300106</v>
          </cell>
          <cell r="E667" t="str">
            <v>SPARE WHEEL CARRIER ASSY</v>
          </cell>
          <cell r="F667">
            <v>1250.54</v>
          </cell>
        </row>
        <row r="668">
          <cell r="D668">
            <v>550840300118</v>
          </cell>
          <cell r="E668" t="str">
            <v>SPARE WHEEL CARRIER ASSY</v>
          </cell>
          <cell r="F668">
            <v>1201.81</v>
          </cell>
        </row>
        <row r="669">
          <cell r="D669">
            <v>550842700103</v>
          </cell>
          <cell r="E669" t="str">
            <v>BRACKET ASSY</v>
          </cell>
          <cell r="F669">
            <v>79.010000000000005</v>
          </cell>
        </row>
        <row r="670">
          <cell r="D670">
            <v>550843700108</v>
          </cell>
          <cell r="E670" t="str">
            <v>BRACKET ASSY</v>
          </cell>
          <cell r="F670">
            <v>230.78</v>
          </cell>
        </row>
        <row r="671">
          <cell r="D671">
            <v>550849203307</v>
          </cell>
          <cell r="E671" t="str">
            <v>BRACKET,FRONT PIPE MTG</v>
          </cell>
          <cell r="F671">
            <v>58.82</v>
          </cell>
        </row>
        <row r="672">
          <cell r="D672">
            <v>550854600123</v>
          </cell>
          <cell r="E672" t="str">
            <v>BRACKET &amp; STRIP PLATE ASSY</v>
          </cell>
          <cell r="F672">
            <v>11.68</v>
          </cell>
        </row>
        <row r="673">
          <cell r="D673">
            <v>552729100120</v>
          </cell>
          <cell r="E673" t="str">
            <v>CLUTCH PEDAL ASSY WITH BUSH</v>
          </cell>
          <cell r="F673">
            <v>213.62</v>
          </cell>
        </row>
        <row r="674">
          <cell r="D674">
            <v>552742703303</v>
          </cell>
          <cell r="E674" t="str">
            <v>BRACKET,PARKING BRAKE LEVER MTG</v>
          </cell>
          <cell r="F674">
            <v>12.76</v>
          </cell>
        </row>
        <row r="675">
          <cell r="D675">
            <v>552747500125</v>
          </cell>
          <cell r="E675" t="str">
            <v>ARRESTOR ASSY</v>
          </cell>
          <cell r="F675">
            <v>165.54</v>
          </cell>
        </row>
        <row r="676">
          <cell r="D676">
            <v>552770160101</v>
          </cell>
          <cell r="E676" t="str">
            <v>SUPD ASSY</v>
          </cell>
          <cell r="F676">
            <v>887.47</v>
          </cell>
        </row>
        <row r="677">
          <cell r="D677">
            <v>552930100102</v>
          </cell>
          <cell r="E677" t="str">
            <v>BRACKET ASSY,ACCELERATOR PEDAL MTG</v>
          </cell>
          <cell r="F677">
            <v>81.09</v>
          </cell>
        </row>
        <row r="678">
          <cell r="D678">
            <v>552931700105</v>
          </cell>
          <cell r="E678" t="str">
            <v>RUPD ASSY</v>
          </cell>
          <cell r="F678">
            <v>1552.07</v>
          </cell>
        </row>
        <row r="679">
          <cell r="D679">
            <v>552932307101</v>
          </cell>
          <cell r="E679" t="str">
            <v>BRACKET,SHOCK ABSORBER MTG,FRONT-LOWER</v>
          </cell>
          <cell r="F679">
            <v>61.75</v>
          </cell>
        </row>
        <row r="680">
          <cell r="D680">
            <v>552970100114</v>
          </cell>
          <cell r="E680" t="str">
            <v>SUPD ASSY,LH</v>
          </cell>
          <cell r="F680">
            <v>1848.03</v>
          </cell>
        </row>
        <row r="681">
          <cell r="D681">
            <v>552970100119</v>
          </cell>
          <cell r="E681" t="str">
            <v>SUPD ASSY,LH</v>
          </cell>
          <cell r="F681">
            <v>1180.24</v>
          </cell>
        </row>
        <row r="682">
          <cell r="D682">
            <v>552970100120</v>
          </cell>
          <cell r="E682" t="str">
            <v>SUPD ASSY,RH</v>
          </cell>
          <cell r="F682">
            <v>1180.24</v>
          </cell>
        </row>
        <row r="683">
          <cell r="D683">
            <v>552970100124</v>
          </cell>
          <cell r="E683" t="str">
            <v>SUPD ASSY</v>
          </cell>
          <cell r="F683">
            <v>660.38</v>
          </cell>
        </row>
        <row r="684">
          <cell r="D684">
            <v>552970100126</v>
          </cell>
          <cell r="E684" t="str">
            <v>SUPD ASSY,LH</v>
          </cell>
          <cell r="F684">
            <v>1325.45</v>
          </cell>
        </row>
        <row r="685">
          <cell r="D685">
            <v>552970100127</v>
          </cell>
          <cell r="E685" t="str">
            <v>SUPD ASSY,LH</v>
          </cell>
          <cell r="F685">
            <v>1922.71</v>
          </cell>
        </row>
        <row r="686">
          <cell r="D686">
            <v>552970100133</v>
          </cell>
          <cell r="E686" t="str">
            <v>SUPD ASSY</v>
          </cell>
          <cell r="F686">
            <v>972.03</v>
          </cell>
        </row>
        <row r="687">
          <cell r="D687">
            <v>552970100134</v>
          </cell>
          <cell r="E687" t="str">
            <v>SUPD ASSY</v>
          </cell>
          <cell r="F687">
            <v>1022.17</v>
          </cell>
        </row>
        <row r="688">
          <cell r="D688">
            <v>552970100136</v>
          </cell>
          <cell r="E688" t="str">
            <v>SUPD ASSY</v>
          </cell>
          <cell r="F688">
            <v>1007.97</v>
          </cell>
        </row>
        <row r="689">
          <cell r="D689">
            <v>552970100137</v>
          </cell>
          <cell r="E689" t="str">
            <v>SUPD ASSY,LH</v>
          </cell>
          <cell r="F689">
            <v>1507.21</v>
          </cell>
        </row>
        <row r="690">
          <cell r="D690">
            <v>552970100138</v>
          </cell>
          <cell r="E690" t="str">
            <v>SUPD ASSY,RH</v>
          </cell>
          <cell r="F690">
            <v>1507.21</v>
          </cell>
        </row>
        <row r="691">
          <cell r="D691">
            <v>552970100139</v>
          </cell>
          <cell r="E691" t="str">
            <v>SUPD ASSY</v>
          </cell>
          <cell r="F691">
            <v>866.12</v>
          </cell>
        </row>
        <row r="692">
          <cell r="D692">
            <v>552970100140</v>
          </cell>
          <cell r="E692" t="str">
            <v>SUPD ASSY,LH</v>
          </cell>
          <cell r="F692">
            <v>1495.92</v>
          </cell>
        </row>
        <row r="693">
          <cell r="D693">
            <v>552970100141</v>
          </cell>
          <cell r="E693" t="str">
            <v>SUPD ASSY,RH</v>
          </cell>
          <cell r="F693">
            <v>1495.92</v>
          </cell>
        </row>
        <row r="694">
          <cell r="D694">
            <v>552970100144</v>
          </cell>
          <cell r="E694" t="str">
            <v>SUPD ASSY,LH</v>
          </cell>
          <cell r="F694">
            <v>1634.76</v>
          </cell>
        </row>
        <row r="695">
          <cell r="D695">
            <v>552970100145</v>
          </cell>
          <cell r="E695" t="str">
            <v>SUPD ASSY,RH</v>
          </cell>
          <cell r="F695">
            <v>1634.76</v>
          </cell>
        </row>
        <row r="696">
          <cell r="D696">
            <v>552970100150</v>
          </cell>
          <cell r="E696" t="str">
            <v>SUPD ASSY</v>
          </cell>
          <cell r="F696">
            <v>1019.57</v>
          </cell>
        </row>
        <row r="697">
          <cell r="D697">
            <v>552970100154</v>
          </cell>
          <cell r="E697" t="str">
            <v>SUPD ASSY</v>
          </cell>
          <cell r="F697">
            <v>823.37</v>
          </cell>
        </row>
        <row r="698">
          <cell r="D698">
            <v>552970100155</v>
          </cell>
          <cell r="E698" t="str">
            <v>SUPD ASSY</v>
          </cell>
          <cell r="F698">
            <v>998.58</v>
          </cell>
        </row>
        <row r="699">
          <cell r="D699">
            <v>552970100179</v>
          </cell>
          <cell r="E699" t="str">
            <v>SUPD ASSY,LH</v>
          </cell>
          <cell r="F699">
            <v>1836.36</v>
          </cell>
        </row>
        <row r="700">
          <cell r="D700">
            <v>552970100180</v>
          </cell>
          <cell r="E700" t="str">
            <v>SUPD ASSY,RH</v>
          </cell>
          <cell r="F700">
            <v>1429.38</v>
          </cell>
        </row>
        <row r="701">
          <cell r="D701">
            <v>552970100182</v>
          </cell>
          <cell r="E701" t="str">
            <v>SUPD ASSY</v>
          </cell>
          <cell r="F701">
            <v>745.2</v>
          </cell>
        </row>
        <row r="702">
          <cell r="D702">
            <v>552970100183</v>
          </cell>
          <cell r="E702" t="str">
            <v>SUPD ASSY,LH</v>
          </cell>
          <cell r="F702">
            <v>834.95</v>
          </cell>
        </row>
        <row r="703">
          <cell r="D703">
            <v>552970100184</v>
          </cell>
          <cell r="E703" t="str">
            <v>SUPD ASSY,RH</v>
          </cell>
          <cell r="F703">
            <v>1066.67</v>
          </cell>
        </row>
        <row r="704">
          <cell r="D704">
            <v>552970100185</v>
          </cell>
          <cell r="E704" t="str">
            <v>SUPD ASSY,LH</v>
          </cell>
          <cell r="F704">
            <v>1119.1099999999999</v>
          </cell>
        </row>
        <row r="705">
          <cell r="D705">
            <v>552970100186</v>
          </cell>
          <cell r="E705" t="str">
            <v>SUPD ASSY,RH</v>
          </cell>
          <cell r="F705">
            <v>1201.76</v>
          </cell>
        </row>
        <row r="706">
          <cell r="D706">
            <v>552970100192</v>
          </cell>
          <cell r="E706" t="str">
            <v>SUPD ASSY</v>
          </cell>
          <cell r="F706">
            <v>1318.11</v>
          </cell>
        </row>
        <row r="707">
          <cell r="D707">
            <v>552970100193</v>
          </cell>
          <cell r="E707" t="str">
            <v>SUPD ASSY</v>
          </cell>
          <cell r="F707">
            <v>1318.11</v>
          </cell>
        </row>
        <row r="708">
          <cell r="D708">
            <v>553026820106</v>
          </cell>
          <cell r="E708" t="str">
            <v>ANCHOR BRACKET ASSY,SHIFT CABLE</v>
          </cell>
          <cell r="F708">
            <v>147.61000000000001</v>
          </cell>
        </row>
        <row r="709">
          <cell r="D709">
            <v>553031700102</v>
          </cell>
          <cell r="E709" t="str">
            <v>BEAM ASSY,RUPD</v>
          </cell>
          <cell r="F709">
            <v>1702.84</v>
          </cell>
        </row>
        <row r="710">
          <cell r="D710">
            <v>553031700114</v>
          </cell>
          <cell r="E710" t="str">
            <v>FUPD ASSY,CROSS BEAM</v>
          </cell>
          <cell r="F710">
            <v>2436.09</v>
          </cell>
        </row>
        <row r="711">
          <cell r="D711">
            <v>553040300101</v>
          </cell>
          <cell r="E711" t="str">
            <v>SPARE WHEEL CARRIER ASSY</v>
          </cell>
          <cell r="F711">
            <v>2251.85</v>
          </cell>
        </row>
        <row r="712">
          <cell r="D712">
            <v>553047500102</v>
          </cell>
          <cell r="E712" t="str">
            <v>FUEL TANK MTG ASSY WITH RUBBER PACKG.</v>
          </cell>
          <cell r="F712">
            <v>312.22000000000003</v>
          </cell>
        </row>
        <row r="713">
          <cell r="D713">
            <v>553049203317</v>
          </cell>
          <cell r="E713" t="str">
            <v>L-BRACKET,EXHAUST PIPE MTG</v>
          </cell>
          <cell r="F713">
            <v>155.81</v>
          </cell>
        </row>
        <row r="714">
          <cell r="D714">
            <v>553054600193</v>
          </cell>
          <cell r="E714" t="str">
            <v>BRACKET ASSY,FUSE BOX MTG</v>
          </cell>
          <cell r="F714">
            <v>70.77</v>
          </cell>
        </row>
        <row r="715">
          <cell r="D715">
            <v>553054800103</v>
          </cell>
          <cell r="E715" t="str">
            <v>BRACKET ASSY,SPEAKER MTG,LH</v>
          </cell>
          <cell r="F715">
            <v>33.700000000000003</v>
          </cell>
        </row>
        <row r="716">
          <cell r="D716">
            <v>553054800104</v>
          </cell>
          <cell r="E716" t="str">
            <v>BRACKET ASSY,SPEAKER MTG,RH</v>
          </cell>
          <cell r="F716">
            <v>33.25</v>
          </cell>
        </row>
        <row r="717">
          <cell r="D717">
            <v>553070100103</v>
          </cell>
          <cell r="E717" t="str">
            <v>SUPD ASSY,LH</v>
          </cell>
          <cell r="F717">
            <v>1520</v>
          </cell>
        </row>
        <row r="718">
          <cell r="D718">
            <v>553070100104</v>
          </cell>
          <cell r="E718" t="str">
            <v>SUPD ASSY,RH</v>
          </cell>
          <cell r="F718">
            <v>1520</v>
          </cell>
        </row>
        <row r="719">
          <cell r="D719">
            <v>553224108205</v>
          </cell>
          <cell r="E719" t="str">
            <v>COVER PLATE</v>
          </cell>
          <cell r="F719">
            <v>15.47</v>
          </cell>
        </row>
        <row r="720">
          <cell r="D720">
            <v>553224108208</v>
          </cell>
          <cell r="E720" t="str">
            <v>COVER PLATE</v>
          </cell>
          <cell r="F720">
            <v>15.48</v>
          </cell>
        </row>
        <row r="721">
          <cell r="D721">
            <v>553229200109</v>
          </cell>
          <cell r="E721" t="str">
            <v>BRAKE PEDAL ASSY WITH BUSH</v>
          </cell>
          <cell r="F721">
            <v>146.35</v>
          </cell>
        </row>
        <row r="722">
          <cell r="D722">
            <v>553229300106</v>
          </cell>
          <cell r="E722" t="str">
            <v>CLUTCH PEDAL ASSY WITH BUSH</v>
          </cell>
          <cell r="F722">
            <v>131.32</v>
          </cell>
        </row>
        <row r="723">
          <cell r="D723">
            <v>553230100108</v>
          </cell>
          <cell r="E723" t="str">
            <v>BRACKET ASSY,ACCELERATOR PEDAL MTG</v>
          </cell>
          <cell r="F723">
            <v>81.19</v>
          </cell>
        </row>
        <row r="724">
          <cell r="D724">
            <v>553242700127</v>
          </cell>
          <cell r="E724" t="str">
            <v>BRACKET ASSY,PARKING BRAKE CABLE MTG</v>
          </cell>
          <cell r="F724">
            <v>144.21</v>
          </cell>
        </row>
        <row r="725">
          <cell r="D725">
            <v>553242703308</v>
          </cell>
          <cell r="E725" t="str">
            <v>BRACKET,HANDBRAKE MTG</v>
          </cell>
          <cell r="F725">
            <v>144.41999999999999</v>
          </cell>
        </row>
        <row r="726">
          <cell r="D726">
            <v>553243700103</v>
          </cell>
          <cell r="E726" t="str">
            <v>BRACKET ASSY,MODULATOR VALVE MTG</v>
          </cell>
          <cell r="F726">
            <v>116.31</v>
          </cell>
        </row>
        <row r="727">
          <cell r="D727">
            <v>553246108202</v>
          </cell>
          <cell r="E727" t="str">
            <v>COVER,STG COLUMN BELLOW</v>
          </cell>
          <cell r="F727">
            <v>6.7</v>
          </cell>
        </row>
        <row r="728">
          <cell r="D728">
            <v>553247603303</v>
          </cell>
          <cell r="E728" t="str">
            <v>BRACKET,FILTER MTG</v>
          </cell>
          <cell r="F728">
            <v>87.73</v>
          </cell>
        </row>
        <row r="729">
          <cell r="D729">
            <v>553254500102</v>
          </cell>
          <cell r="E729" t="str">
            <v>SWITCH,BATTERY CUT OFF-MTG BRACKET ASSY</v>
          </cell>
          <cell r="F729">
            <v>37.22</v>
          </cell>
        </row>
        <row r="730">
          <cell r="D730">
            <v>554729500101</v>
          </cell>
          <cell r="E730" t="str">
            <v>BRACKET ASSY,BOOSTER MTG</v>
          </cell>
          <cell r="F730">
            <v>307.17</v>
          </cell>
        </row>
        <row r="731">
          <cell r="D731">
            <v>554731700111</v>
          </cell>
          <cell r="E731" t="str">
            <v>FUPD MTG,LH</v>
          </cell>
          <cell r="F731">
            <v>433.47</v>
          </cell>
        </row>
        <row r="732">
          <cell r="D732">
            <v>554731700114</v>
          </cell>
          <cell r="E732" t="str">
            <v>CROSS BEAM ASSY,FUPD</v>
          </cell>
          <cell r="F732">
            <v>1626.6</v>
          </cell>
        </row>
        <row r="733">
          <cell r="D733">
            <v>554749203317</v>
          </cell>
          <cell r="E733" t="str">
            <v>BRACKET,FRONT PIPE MTG</v>
          </cell>
          <cell r="F733">
            <v>83.59</v>
          </cell>
        </row>
        <row r="734">
          <cell r="D734">
            <v>554770010106</v>
          </cell>
          <cell r="E734" t="str">
            <v>SUPD ASSY</v>
          </cell>
          <cell r="F734">
            <v>580.89</v>
          </cell>
        </row>
        <row r="735">
          <cell r="D735">
            <v>555046800101</v>
          </cell>
          <cell r="E735" t="str">
            <v>L-BRACKET ASSY</v>
          </cell>
          <cell r="F735">
            <v>14.16</v>
          </cell>
        </row>
        <row r="736">
          <cell r="D736">
            <v>555054600170</v>
          </cell>
          <cell r="E736" t="str">
            <v>BRACKET ASSY,CABIN FRONT CONN MTG</v>
          </cell>
          <cell r="F736">
            <v>19.170000000000002</v>
          </cell>
        </row>
        <row r="737">
          <cell r="D737">
            <v>555054603307</v>
          </cell>
          <cell r="E737" t="str">
            <v>BRACKET,CABIN WIRING HARNESS MTG</v>
          </cell>
          <cell r="F737">
            <v>30.58</v>
          </cell>
        </row>
        <row r="738">
          <cell r="D738">
            <v>555054610164</v>
          </cell>
          <cell r="E738" t="str">
            <v>BRACKET ASSY,RELAY BOX MTG</v>
          </cell>
          <cell r="F738">
            <v>28.21</v>
          </cell>
        </row>
        <row r="739">
          <cell r="D739">
            <v>555054610170</v>
          </cell>
          <cell r="E739" t="str">
            <v>BRACKET ASSY,WIRING HARNESS MTG</v>
          </cell>
          <cell r="F739">
            <v>6.12</v>
          </cell>
        </row>
        <row r="740">
          <cell r="D740">
            <v>555054700102</v>
          </cell>
          <cell r="E740" t="str">
            <v>BRACKET ASSY,GDCU UNIT MOUNTING</v>
          </cell>
          <cell r="F740">
            <v>13</v>
          </cell>
        </row>
        <row r="741">
          <cell r="D741">
            <v>555470100109</v>
          </cell>
          <cell r="E741" t="str">
            <v>SUPD ASSY</v>
          </cell>
          <cell r="F741">
            <v>568.09</v>
          </cell>
        </row>
        <row r="742">
          <cell r="D742">
            <v>555470110201</v>
          </cell>
          <cell r="E742" t="str">
            <v>SUPD ASSY</v>
          </cell>
          <cell r="F742">
            <v>484.9</v>
          </cell>
        </row>
        <row r="743">
          <cell r="D743">
            <v>555470110203</v>
          </cell>
          <cell r="E743" t="str">
            <v>SUPD ASSY,LH</v>
          </cell>
          <cell r="F743">
            <v>830.65</v>
          </cell>
        </row>
        <row r="744">
          <cell r="D744">
            <v>555470160101</v>
          </cell>
          <cell r="E744" t="str">
            <v>SUPD ASSY</v>
          </cell>
          <cell r="F744">
            <v>427.69</v>
          </cell>
        </row>
        <row r="745">
          <cell r="D745">
            <v>555470160102</v>
          </cell>
          <cell r="E745" t="str">
            <v>SUPD ASSY</v>
          </cell>
          <cell r="F745">
            <v>491.11</v>
          </cell>
        </row>
        <row r="746">
          <cell r="D746">
            <v>555470160104</v>
          </cell>
          <cell r="E746" t="str">
            <v>SUPD ASSY</v>
          </cell>
          <cell r="F746">
            <v>267.75</v>
          </cell>
        </row>
        <row r="747">
          <cell r="D747">
            <v>555470160105</v>
          </cell>
          <cell r="E747" t="str">
            <v>SUPD ASSY,LH</v>
          </cell>
          <cell r="F747">
            <v>758.83</v>
          </cell>
        </row>
        <row r="748">
          <cell r="D748">
            <v>555547500101</v>
          </cell>
          <cell r="E748" t="str">
            <v>ARRESTOR ASSY</v>
          </cell>
          <cell r="F748">
            <v>163.72999999999999</v>
          </cell>
        </row>
        <row r="749">
          <cell r="D749">
            <v>555547500103</v>
          </cell>
          <cell r="E749" t="str">
            <v>RESTRAINT ASSY</v>
          </cell>
          <cell r="F749">
            <v>124.22</v>
          </cell>
        </row>
        <row r="750">
          <cell r="D750">
            <v>555547500107</v>
          </cell>
          <cell r="E750" t="str">
            <v>ARRESTOR ASSY</v>
          </cell>
          <cell r="F750">
            <v>144.29</v>
          </cell>
        </row>
        <row r="751">
          <cell r="D751">
            <v>555547500109</v>
          </cell>
          <cell r="E751" t="str">
            <v>ARRESTOR ASSY</v>
          </cell>
          <cell r="F751">
            <v>183.38</v>
          </cell>
        </row>
        <row r="752">
          <cell r="D752">
            <v>555549200106</v>
          </cell>
          <cell r="E752" t="str">
            <v>BRACKET ASSY,FRONT PIPE MTG</v>
          </cell>
          <cell r="F752">
            <v>169.27</v>
          </cell>
        </row>
        <row r="753">
          <cell r="D753">
            <v>555570100105</v>
          </cell>
          <cell r="E753" t="str">
            <v>SUPD ASSY</v>
          </cell>
          <cell r="F753">
            <v>573.29999999999995</v>
          </cell>
        </row>
        <row r="754">
          <cell r="D754">
            <v>555570100106</v>
          </cell>
          <cell r="E754" t="str">
            <v>SUPD ASSY</v>
          </cell>
          <cell r="F754">
            <v>532.69000000000005</v>
          </cell>
        </row>
        <row r="755">
          <cell r="D755">
            <v>555570110201</v>
          </cell>
          <cell r="E755" t="str">
            <v>SUPD ASSY,LH</v>
          </cell>
          <cell r="F755">
            <v>557.27</v>
          </cell>
        </row>
        <row r="756">
          <cell r="D756">
            <v>555570110203</v>
          </cell>
          <cell r="E756" t="str">
            <v>SUPD ASSY,RH</v>
          </cell>
          <cell r="F756">
            <v>557.27</v>
          </cell>
        </row>
        <row r="757">
          <cell r="D757">
            <v>555570160102</v>
          </cell>
          <cell r="E757" t="str">
            <v>SUPD ASSY</v>
          </cell>
          <cell r="F757">
            <v>646.45000000000005</v>
          </cell>
        </row>
        <row r="758">
          <cell r="D758">
            <v>570601170127</v>
          </cell>
          <cell r="E758" t="str">
            <v>DIPSTICK MTNG BKT ASSY(BUS)</v>
          </cell>
          <cell r="F758">
            <v>10.87</v>
          </cell>
        </row>
        <row r="759">
          <cell r="D759">
            <v>570601173336</v>
          </cell>
          <cell r="E759" t="str">
            <v>BRACKET,OIL SEPARATOR MTG</v>
          </cell>
          <cell r="F759">
            <v>14.03</v>
          </cell>
        </row>
        <row r="760">
          <cell r="D760">
            <v>570601173342</v>
          </cell>
          <cell r="E760" t="str">
            <v>BRACKET,OIL MIST SEPARATOR MTG</v>
          </cell>
          <cell r="F760">
            <v>13.17</v>
          </cell>
        </row>
        <row r="761">
          <cell r="D761">
            <v>570614603309</v>
          </cell>
          <cell r="E761" t="str">
            <v>TC-IC PIPE SUPPORT FROM AIR COMP BKT</v>
          </cell>
          <cell r="F761">
            <v>22.95</v>
          </cell>
        </row>
        <row r="762">
          <cell r="D762">
            <v>570614603340</v>
          </cell>
          <cell r="E762" t="str">
            <v>BRACKET</v>
          </cell>
          <cell r="F762">
            <v>29.58</v>
          </cell>
        </row>
        <row r="763">
          <cell r="D763">
            <v>570620123310</v>
          </cell>
          <cell r="E763" t="str">
            <v>CRIMP HOSE SUP.BKT(EGR TO WIE)</v>
          </cell>
          <cell r="F763">
            <v>2.86</v>
          </cell>
        </row>
        <row r="764">
          <cell r="D764">
            <v>570650103369</v>
          </cell>
          <cell r="E764" t="str">
            <v>BRACKET,RADIATOR BOTTOM MTG</v>
          </cell>
          <cell r="F764">
            <v>171.97</v>
          </cell>
        </row>
        <row r="765">
          <cell r="D765">
            <v>570650103375</v>
          </cell>
          <cell r="E765" t="str">
            <v>BRACKET,RADIATOR BOTTOM MTG</v>
          </cell>
          <cell r="F765">
            <v>174.51</v>
          </cell>
        </row>
        <row r="766">
          <cell r="D766">
            <v>570650103376</v>
          </cell>
          <cell r="E766" t="str">
            <v>BRACKET,RADIATOR BOTTOM MTG</v>
          </cell>
          <cell r="F766">
            <v>218.15</v>
          </cell>
        </row>
        <row r="767">
          <cell r="D767">
            <v>570650103377</v>
          </cell>
          <cell r="E767" t="str">
            <v>BRACKET,RADIATOR BOTTOM MTG</v>
          </cell>
          <cell r="F767">
            <v>191.6</v>
          </cell>
        </row>
        <row r="768">
          <cell r="D768">
            <v>570901170105</v>
          </cell>
          <cell r="E768" t="str">
            <v>CLAMP (FOR DIPSTICK MOUNTING)</v>
          </cell>
          <cell r="F768">
            <v>1.79</v>
          </cell>
        </row>
        <row r="769">
          <cell r="D769">
            <v>570901170108</v>
          </cell>
          <cell r="E769" t="str">
            <v>BRACKET ASSY</v>
          </cell>
          <cell r="F769">
            <v>25.04</v>
          </cell>
        </row>
        <row r="770">
          <cell r="D770">
            <v>570903118201</v>
          </cell>
          <cell r="E770" t="str">
            <v>COVER,FLYWHEEL HOUSING (TDC)</v>
          </cell>
          <cell r="F770">
            <v>3.65</v>
          </cell>
        </row>
        <row r="771">
          <cell r="D771">
            <v>570913130103</v>
          </cell>
          <cell r="E771" t="str">
            <v>BRACKET ASSY,AIR COMPRESSOR PIPE MTG</v>
          </cell>
          <cell r="F771">
            <v>9.52</v>
          </cell>
        </row>
        <row r="772">
          <cell r="D772">
            <v>570914110245</v>
          </cell>
          <cell r="E772" t="str">
            <v>BRACKET ASSY</v>
          </cell>
          <cell r="F772">
            <v>46.9</v>
          </cell>
        </row>
        <row r="773">
          <cell r="D773">
            <v>570914118201</v>
          </cell>
          <cell r="E773" t="str">
            <v>SUPPORT BRACKET,EXHAUST ELBOW</v>
          </cell>
          <cell r="F773">
            <v>30.33</v>
          </cell>
        </row>
        <row r="774">
          <cell r="D774">
            <v>570915148201</v>
          </cell>
          <cell r="E774" t="str">
            <v>DISTANCE PLATE,ALTERNATOR MOUNTING</v>
          </cell>
          <cell r="F774">
            <v>9.7899999999999991</v>
          </cell>
        </row>
        <row r="775">
          <cell r="D775">
            <v>570918153302</v>
          </cell>
          <cell r="E775" t="str">
            <v>FLANGE,OIL PUMP STRAINER</v>
          </cell>
          <cell r="F775">
            <v>10.68</v>
          </cell>
        </row>
        <row r="776">
          <cell r="D776">
            <v>570922128201</v>
          </cell>
          <cell r="E776" t="str">
            <v>ENGINE LIFTING HOOK,CYL HEAD,FRONT</v>
          </cell>
          <cell r="F776">
            <v>57.62</v>
          </cell>
        </row>
        <row r="777">
          <cell r="D777">
            <v>571407100120</v>
          </cell>
          <cell r="E777" t="str">
            <v>ECU MOUNTING BRACKET</v>
          </cell>
          <cell r="F777">
            <v>31.35</v>
          </cell>
        </row>
        <row r="778">
          <cell r="D778">
            <v>581735608201</v>
          </cell>
          <cell r="E778" t="str">
            <v>OIL CATCHER(RA 1068)</v>
          </cell>
          <cell r="F778">
            <v>47.36</v>
          </cell>
        </row>
        <row r="779">
          <cell r="D779">
            <v>581735608203</v>
          </cell>
          <cell r="E779" t="str">
            <v>OIL CATCHER</v>
          </cell>
          <cell r="F779">
            <v>62.11</v>
          </cell>
        </row>
        <row r="780">
          <cell r="D780">
            <v>585860100112</v>
          </cell>
          <cell r="E780" t="str">
            <v>BRACKET ASSY,CAB LIFTING,LH</v>
          </cell>
          <cell r="F780">
            <v>84.33</v>
          </cell>
        </row>
        <row r="781">
          <cell r="D781">
            <v>585860100113</v>
          </cell>
          <cell r="E781" t="str">
            <v>BRACKET ASSY,CAB LIFTING</v>
          </cell>
          <cell r="F781">
            <v>84.33</v>
          </cell>
        </row>
        <row r="782">
          <cell r="D782">
            <v>585860100144</v>
          </cell>
          <cell r="E782" t="str">
            <v>RAIL ASSY,FRONT-TOP</v>
          </cell>
          <cell r="F782">
            <v>328.51</v>
          </cell>
        </row>
        <row r="783">
          <cell r="D783">
            <v>585860108204</v>
          </cell>
          <cell r="E783" t="str">
            <v>TOP RAIL REAR</v>
          </cell>
          <cell r="F783">
            <v>301.67</v>
          </cell>
        </row>
        <row r="784">
          <cell r="D784">
            <v>585860108220</v>
          </cell>
          <cell r="E784" t="str">
            <v>TOP RAIL REAR NRW</v>
          </cell>
          <cell r="F784">
            <v>225.58</v>
          </cell>
        </row>
        <row r="785">
          <cell r="D785">
            <v>585862600118</v>
          </cell>
          <cell r="E785" t="str">
            <v>REINFORCEMENT ASSY,FIREWALL CTR MTG BKT</v>
          </cell>
          <cell r="F785">
            <v>94.65</v>
          </cell>
        </row>
        <row r="786">
          <cell r="D786">
            <v>585862600119</v>
          </cell>
          <cell r="E786" t="str">
            <v>BRACKET ASSY,CONTROL MTG</v>
          </cell>
          <cell r="F786">
            <v>63.72</v>
          </cell>
        </row>
        <row r="787">
          <cell r="D787">
            <v>585862600201</v>
          </cell>
          <cell r="E787" t="str">
            <v>LIFTING HOOK ASSY,CAB,RH</v>
          </cell>
          <cell r="F787">
            <v>36.33</v>
          </cell>
        </row>
        <row r="788">
          <cell r="D788">
            <v>585863200101</v>
          </cell>
          <cell r="E788" t="str">
            <v>ASSY REINF STRIKER</v>
          </cell>
          <cell r="F788">
            <v>21.96</v>
          </cell>
        </row>
        <row r="789">
          <cell r="D789">
            <v>585863200137</v>
          </cell>
          <cell r="E789" t="str">
            <v>REINFORCEMENT ASSY,OUTER FENDER PANEL</v>
          </cell>
          <cell r="F789">
            <v>3.74</v>
          </cell>
        </row>
        <row r="790">
          <cell r="D790">
            <v>585864200103</v>
          </cell>
          <cell r="E790" t="str">
            <v>ASSY REINF BOTTOM SNORKEL MTG</v>
          </cell>
          <cell r="F790">
            <v>32.33</v>
          </cell>
        </row>
        <row r="791">
          <cell r="D791">
            <v>585864200109</v>
          </cell>
          <cell r="E791" t="str">
            <v>REINFORCEMENT ASSY,SNORKEL MTG,TOP</v>
          </cell>
          <cell r="F791">
            <v>7.52</v>
          </cell>
        </row>
        <row r="792">
          <cell r="D792">
            <v>585864200110</v>
          </cell>
          <cell r="E792" t="str">
            <v>REINFORCEMENT ASSY,SNORKEL MTG,BOTTOM</v>
          </cell>
          <cell r="F792">
            <v>30.06</v>
          </cell>
        </row>
        <row r="793">
          <cell r="D793">
            <v>585864200126</v>
          </cell>
          <cell r="E793" t="str">
            <v>BRACKET ASSY,SNORKEL MTG</v>
          </cell>
          <cell r="F793">
            <v>39.090000000000003</v>
          </cell>
        </row>
        <row r="794">
          <cell r="D794">
            <v>585864200128</v>
          </cell>
          <cell r="E794" t="str">
            <v>REINFORCEMENT ASSY,SNORKEL MTG,TOP-LH</v>
          </cell>
          <cell r="F794">
            <v>20.3</v>
          </cell>
        </row>
        <row r="795">
          <cell r="D795">
            <v>585864200129</v>
          </cell>
          <cell r="E795" t="str">
            <v>REINFORCEMENT ASSY,SNORKEL MTG,TOP-RH</v>
          </cell>
          <cell r="F795">
            <v>20.3</v>
          </cell>
        </row>
        <row r="796">
          <cell r="D796">
            <v>585864208223</v>
          </cell>
          <cell r="E796" t="str">
            <v>REINF SUPPORT REAR WALL TOP NRW</v>
          </cell>
          <cell r="F796">
            <v>125.39</v>
          </cell>
        </row>
        <row r="797">
          <cell r="D797">
            <v>585864208234</v>
          </cell>
          <cell r="E797" t="str">
            <v>REINFORCEMENT,REAR WALL,CENTER</v>
          </cell>
          <cell r="F797">
            <v>186.73</v>
          </cell>
        </row>
        <row r="798">
          <cell r="D798">
            <v>585864208240</v>
          </cell>
          <cell r="E798" t="str">
            <v>BRACKET,REAR WALL TRIM MTG</v>
          </cell>
          <cell r="F798">
            <v>2.54</v>
          </cell>
        </row>
        <row r="799">
          <cell r="D799">
            <v>585864608205</v>
          </cell>
          <cell r="E799" t="str">
            <v>REAR WALL TRIM MTG BRACKET NRW</v>
          </cell>
          <cell r="F799">
            <v>2.0299999999999998</v>
          </cell>
        </row>
        <row r="800">
          <cell r="D800">
            <v>585872700118</v>
          </cell>
          <cell r="E800" t="str">
            <v>ASSY BRACKET CARRIER PLATE DOOR</v>
          </cell>
          <cell r="F800">
            <v>16.09</v>
          </cell>
        </row>
        <row r="801">
          <cell r="D801">
            <v>585883708201</v>
          </cell>
          <cell r="E801" t="str">
            <v>COVER PLATE</v>
          </cell>
          <cell r="F801">
            <v>86.82</v>
          </cell>
        </row>
        <row r="802">
          <cell r="D802">
            <v>585888100117</v>
          </cell>
          <cell r="E802" t="str">
            <v>ASSY SUPPORT BRKT NOISE COVER LH TOP</v>
          </cell>
          <cell r="F802">
            <v>22.7</v>
          </cell>
        </row>
        <row r="803">
          <cell r="D803">
            <v>585888100121</v>
          </cell>
          <cell r="E803" t="str">
            <v>ASSY BRKT FRAME NOISE COVER</v>
          </cell>
          <cell r="F803">
            <v>41.53</v>
          </cell>
        </row>
        <row r="804">
          <cell r="D804">
            <v>585888100127</v>
          </cell>
          <cell r="E804" t="str">
            <v>ASSY SUPPORT BRKT NOISE COVER RH TOP</v>
          </cell>
          <cell r="F804">
            <v>22.7</v>
          </cell>
        </row>
        <row r="805">
          <cell r="D805">
            <v>585888200101</v>
          </cell>
          <cell r="E805" t="str">
            <v>PIPE ASSY,FENDER REAR-LH</v>
          </cell>
          <cell r="F805">
            <v>895.29</v>
          </cell>
        </row>
        <row r="806">
          <cell r="D806">
            <v>585888200114</v>
          </cell>
          <cell r="E806" t="str">
            <v>REAR FENDER ASSY</v>
          </cell>
          <cell r="F806">
            <v>858.21</v>
          </cell>
        </row>
        <row r="807">
          <cell r="D807">
            <v>585888200120</v>
          </cell>
          <cell r="E807" t="str">
            <v>ASSY BRT REAR FENDER MTG UPPER LH</v>
          </cell>
          <cell r="F807">
            <v>368.04</v>
          </cell>
        </row>
        <row r="808">
          <cell r="D808">
            <v>585888200121</v>
          </cell>
          <cell r="E808" t="str">
            <v>ASSY BRT REAR FENDER MTG UPPER RH</v>
          </cell>
          <cell r="F808">
            <v>242.82</v>
          </cell>
        </row>
        <row r="809">
          <cell r="D809">
            <v>585888200122</v>
          </cell>
          <cell r="E809" t="str">
            <v>ASSY PIPE REAR FENDER MTG LOWER LH</v>
          </cell>
          <cell r="F809">
            <v>381.69</v>
          </cell>
        </row>
        <row r="810">
          <cell r="D810">
            <v>585888200123</v>
          </cell>
          <cell r="E810" t="str">
            <v>ASSY PIPE REAR FENDER MTG LOWER RH</v>
          </cell>
          <cell r="F810">
            <v>371.14</v>
          </cell>
        </row>
        <row r="811">
          <cell r="D811">
            <v>585888200181</v>
          </cell>
          <cell r="E811" t="str">
            <v>ASSY REAR FENDER MTG UPPER LH WIDE (LHD)</v>
          </cell>
          <cell r="F811">
            <v>247.5</v>
          </cell>
        </row>
        <row r="812">
          <cell r="D812">
            <v>585888200182</v>
          </cell>
          <cell r="E812" t="str">
            <v>ASSY REAR FENDER MTG UPPER RH WIDE (LHD)</v>
          </cell>
          <cell r="F812">
            <v>376.29</v>
          </cell>
        </row>
        <row r="813">
          <cell r="D813">
            <v>585888210102</v>
          </cell>
          <cell r="E813" t="str">
            <v>ASSY PIPE RR FDR MTG UPR LWR LH(ULTRA+)</v>
          </cell>
          <cell r="F813">
            <v>942.27</v>
          </cell>
        </row>
        <row r="814">
          <cell r="D814">
            <v>585888210103</v>
          </cell>
          <cell r="E814" t="str">
            <v>PIPE ASSY,REAR FENDER MTG,RH</v>
          </cell>
          <cell r="F814">
            <v>775.03</v>
          </cell>
        </row>
        <row r="815">
          <cell r="D815">
            <v>585888210124</v>
          </cell>
          <cell r="E815" t="str">
            <v>PIPE ASSY,FENDER REAR-RH</v>
          </cell>
          <cell r="F815">
            <v>766.53</v>
          </cell>
        </row>
        <row r="816">
          <cell r="D816">
            <v>585888210128</v>
          </cell>
          <cell r="E816" t="str">
            <v>REAR FENDER ASSY</v>
          </cell>
          <cell r="F816">
            <v>865.39</v>
          </cell>
        </row>
        <row r="817">
          <cell r="D817">
            <v>585888210155</v>
          </cell>
          <cell r="E817" t="str">
            <v>PIPE ASSY,REAR FENDER MTG,LH</v>
          </cell>
          <cell r="F817">
            <v>552.85</v>
          </cell>
        </row>
        <row r="818">
          <cell r="D818">
            <v>585888210156</v>
          </cell>
          <cell r="E818" t="str">
            <v>PIPE ASSY,REAR FENDER MTG,RH</v>
          </cell>
          <cell r="F818">
            <v>552.86</v>
          </cell>
        </row>
        <row r="819">
          <cell r="D819">
            <v>585888210160</v>
          </cell>
          <cell r="E819" t="str">
            <v>BRACKET ASSY,REAR FENDER SUPPORT</v>
          </cell>
          <cell r="F819">
            <v>20.100000000000001</v>
          </cell>
        </row>
        <row r="820">
          <cell r="D820">
            <v>585888210164</v>
          </cell>
          <cell r="E820" t="str">
            <v>PIPE,REAR FENDER MTG,LH</v>
          </cell>
          <cell r="F820">
            <v>788.19</v>
          </cell>
        </row>
        <row r="821">
          <cell r="D821">
            <v>585888210165</v>
          </cell>
          <cell r="E821" t="str">
            <v>PIPE ASSY,REAR FENDER MTG,LH</v>
          </cell>
          <cell r="F821">
            <v>391.72</v>
          </cell>
        </row>
        <row r="822">
          <cell r="D822">
            <v>585888400129</v>
          </cell>
          <cell r="E822" t="str">
            <v>BRACKET ASSY,HINGE SUPPORT</v>
          </cell>
          <cell r="F822">
            <v>20.61</v>
          </cell>
        </row>
        <row r="823">
          <cell r="D823">
            <v>585888500123</v>
          </cell>
          <cell r="E823" t="str">
            <v>BRACKET ASSY,FOOTSTEP MTG,LH</v>
          </cell>
          <cell r="F823">
            <v>116.57</v>
          </cell>
        </row>
        <row r="824">
          <cell r="D824">
            <v>585888500124</v>
          </cell>
          <cell r="E824" t="str">
            <v>BRACKET ASSY,FOOTSTEP MTG,RH</v>
          </cell>
          <cell r="F824">
            <v>115.63</v>
          </cell>
        </row>
        <row r="825">
          <cell r="D825">
            <v>585889100120</v>
          </cell>
          <cell r="E825" t="str">
            <v>ASSY_REAR_LOCKING_KIT_UPPER</v>
          </cell>
          <cell r="F825">
            <v>383.21</v>
          </cell>
        </row>
        <row r="826">
          <cell r="D826">
            <v>585889100130</v>
          </cell>
          <cell r="E826" t="str">
            <v>ASSY FRT MTG SHEET METAL LH 850X200</v>
          </cell>
          <cell r="F826">
            <v>960.22</v>
          </cell>
        </row>
        <row r="827">
          <cell r="D827">
            <v>585889100133</v>
          </cell>
          <cell r="E827" t="str">
            <v>ASSY FRT MTG SHEET METAL RH 850X200</v>
          </cell>
          <cell r="F827">
            <v>960.22</v>
          </cell>
        </row>
        <row r="828">
          <cell r="D828">
            <v>585889106004</v>
          </cell>
          <cell r="E828" t="str">
            <v>CONNECTING LINK</v>
          </cell>
          <cell r="F828">
            <v>10.66</v>
          </cell>
        </row>
        <row r="829">
          <cell r="D829">
            <v>585889108205</v>
          </cell>
          <cell r="E829" t="str">
            <v>CONNECTOR</v>
          </cell>
          <cell r="F829">
            <v>11.2</v>
          </cell>
        </row>
        <row r="830">
          <cell r="D830">
            <v>585889110136</v>
          </cell>
          <cell r="E830" t="str">
            <v>BRACKET ASSY,UPPER</v>
          </cell>
          <cell r="F830">
            <v>412.23</v>
          </cell>
        </row>
        <row r="831">
          <cell r="D831">
            <v>585889110202</v>
          </cell>
          <cell r="E831" t="str">
            <v>CROSS TUBE ASSY</v>
          </cell>
          <cell r="F831">
            <v>1765.21</v>
          </cell>
        </row>
        <row r="832">
          <cell r="D832">
            <v>26512640010620</v>
          </cell>
          <cell r="E832" t="str">
            <v>ASSY LEVER (FABRICATED)</v>
          </cell>
          <cell r="F832">
            <v>160.06</v>
          </cell>
        </row>
        <row r="833">
          <cell r="D833" t="str">
            <v>284569500169AQ</v>
          </cell>
          <cell r="E833" t="str">
            <v>LINEN-CHANNEL BEADING ASSY,CENTER</v>
          </cell>
          <cell r="F833">
            <v>71.13</v>
          </cell>
        </row>
        <row r="834">
          <cell r="D834" t="str">
            <v>284569500172AQ</v>
          </cell>
          <cell r="E834" t="str">
            <v>LINEN-CHANNEL BEADING ASSY,FRONT</v>
          </cell>
          <cell r="F834">
            <v>60.73</v>
          </cell>
        </row>
        <row r="835">
          <cell r="D835" t="str">
            <v>284569500173AQ</v>
          </cell>
          <cell r="E835" t="str">
            <v>LINEN-CHANNEL BEADING ASSY,FRONT</v>
          </cell>
          <cell r="F835">
            <v>60.73</v>
          </cell>
        </row>
        <row r="836">
          <cell r="D836" t="str">
            <v>284569500174AQ</v>
          </cell>
          <cell r="E836" t="str">
            <v>LINEN-CHANNEL BEADING ASSY,FRONT</v>
          </cell>
          <cell r="F836">
            <v>66.92</v>
          </cell>
        </row>
        <row r="837">
          <cell r="D837" t="str">
            <v>284569500175AQ</v>
          </cell>
          <cell r="E837" t="str">
            <v>LINEN-CHANNEL BEADING ASSY,CENTER</v>
          </cell>
          <cell r="F837">
            <v>68.11</v>
          </cell>
        </row>
        <row r="838">
          <cell r="D838" t="str">
            <v>284569990101ZY</v>
          </cell>
          <cell r="E838" t="str">
            <v>CLRPRT_ASY_1-HEADLINER BEADING ASSY</v>
          </cell>
          <cell r="F838">
            <v>616.44000000000005</v>
          </cell>
        </row>
        <row r="839">
          <cell r="D839" t="str">
            <v>29006010M10129</v>
          </cell>
          <cell r="E839" t="str">
            <v>GUSSET ASSY,REINFORCEMENT,FRONT-LH</v>
          </cell>
          <cell r="F839">
            <v>12.42</v>
          </cell>
        </row>
        <row r="840">
          <cell r="D840" t="str">
            <v>29006010M10130</v>
          </cell>
          <cell r="E840" t="str">
            <v>GUSSET ASSY,REINFORCEMENT,FRONT-RH</v>
          </cell>
          <cell r="F840">
            <v>12.42</v>
          </cell>
        </row>
        <row r="841">
          <cell r="D841" t="str">
            <v>29006570M10108</v>
          </cell>
          <cell r="E841" t="str">
            <v>FRAME ASSY,ROOF BOW</v>
          </cell>
          <cell r="F841">
            <v>1160.9000000000001</v>
          </cell>
        </row>
        <row r="842">
          <cell r="D842" t="str">
            <v>55306010M10102</v>
          </cell>
          <cell r="E842" t="str">
            <v>ROOF STRUCTURE ASSY</v>
          </cell>
          <cell r="F842">
            <v>684.34</v>
          </cell>
        </row>
        <row r="843">
          <cell r="D843" t="str">
            <v>55306420M10130</v>
          </cell>
          <cell r="E843" t="str">
            <v>REINFORCEMENT ASSY,C/M BACK PANEL</v>
          </cell>
          <cell r="F843">
            <v>198.85</v>
          </cell>
        </row>
        <row r="844">
          <cell r="D844" t="str">
            <v>55476010M10156</v>
          </cell>
          <cell r="E844" t="str">
            <v>TOP RAIL ASSY,FRONT</v>
          </cell>
          <cell r="F844">
            <v>480.82</v>
          </cell>
        </row>
        <row r="845">
          <cell r="D845" t="str">
            <v>55476320M10101</v>
          </cell>
          <cell r="E845" t="str">
            <v>REINFORCEMENT ASSY,STRIKER</v>
          </cell>
          <cell r="F845">
            <v>21.96</v>
          </cell>
        </row>
        <row r="846">
          <cell r="D846" t="str">
            <v>55506160M10142</v>
          </cell>
          <cell r="E846" t="str">
            <v>BRACKET ASSY,AMPLIFIER &amp; BATT CUTOFF SW</v>
          </cell>
          <cell r="F846">
            <v>137.41999999999999</v>
          </cell>
        </row>
        <row r="847">
          <cell r="D847" t="str">
            <v>55546010M10121</v>
          </cell>
          <cell r="E847" t="str">
            <v>ASSY ROOF BOW FRONT NARROW</v>
          </cell>
          <cell r="F847">
            <v>147.53</v>
          </cell>
        </row>
        <row r="848">
          <cell r="D848" t="str">
            <v>55546010M10144</v>
          </cell>
          <cell r="E848" t="str">
            <v>ASSY TOP RAIL FRONT NARROW</v>
          </cell>
          <cell r="F848">
            <v>328.51</v>
          </cell>
        </row>
        <row r="849">
          <cell r="D849" t="str">
            <v>55556260M10114</v>
          </cell>
          <cell r="E849" t="str">
            <v>BRACKET ASSY,WHEEL BOX MTG</v>
          </cell>
          <cell r="F849">
            <v>24.75</v>
          </cell>
        </row>
        <row r="850">
          <cell r="D850" t="str">
            <v>55556260M10127</v>
          </cell>
          <cell r="E850" t="str">
            <v>BRACKET ASSY,WHEEL BOX MTG,LH</v>
          </cell>
          <cell r="F850">
            <v>31.36</v>
          </cell>
        </row>
        <row r="851">
          <cell r="D851">
            <v>501746803302</v>
          </cell>
          <cell r="E851" t="str">
            <v>BRKT-STRG PIPE MTG</v>
          </cell>
          <cell r="F851">
            <v>77.63</v>
          </cell>
        </row>
        <row r="852">
          <cell r="D852">
            <v>288546803328</v>
          </cell>
          <cell r="E852" t="str">
            <v>BRACKET STG PIPE MTG</v>
          </cell>
          <cell r="F852">
            <v>19.23</v>
          </cell>
        </row>
        <row r="853">
          <cell r="D853">
            <v>222970140121</v>
          </cell>
          <cell r="E853" t="str">
            <v>SUPD ASSY,RH</v>
          </cell>
          <cell r="F853">
            <v>1339.16</v>
          </cell>
        </row>
        <row r="854">
          <cell r="D854">
            <v>222970150115</v>
          </cell>
          <cell r="E854" t="str">
            <v>SUPD ASSY,LH</v>
          </cell>
          <cell r="F854">
            <v>1884.21</v>
          </cell>
        </row>
        <row r="855">
          <cell r="D855">
            <v>222970150116</v>
          </cell>
          <cell r="E855" t="str">
            <v>SUPD ASSY,RH</v>
          </cell>
          <cell r="F855">
            <v>1420.04</v>
          </cell>
        </row>
        <row r="856">
          <cell r="D856">
            <v>278603114701</v>
          </cell>
          <cell r="E856" t="str">
            <v>BOTTOM COVER (FLYWHEEL HOUSING)</v>
          </cell>
          <cell r="F856">
            <v>10</v>
          </cell>
        </row>
        <row r="857">
          <cell r="D857">
            <v>282131208210</v>
          </cell>
          <cell r="E857" t="str">
            <v>REINFORCEMENT,BOTTOM,RH</v>
          </cell>
          <cell r="F857">
            <v>148.28</v>
          </cell>
        </row>
        <row r="858">
          <cell r="D858">
            <v>282131208211</v>
          </cell>
          <cell r="E858" t="str">
            <v>REINFORCEMENT,BOTTOM,LH</v>
          </cell>
          <cell r="F858">
            <v>148.28</v>
          </cell>
        </row>
        <row r="859">
          <cell r="D859">
            <v>512040300101</v>
          </cell>
          <cell r="E859" t="str">
            <v>SPACER PLATE ASSY,SPARE WHEEL MTG BKT</v>
          </cell>
          <cell r="F859">
            <v>135.91</v>
          </cell>
        </row>
        <row r="860">
          <cell r="D860">
            <v>222870150117</v>
          </cell>
          <cell r="E860" t="str">
            <v>SUPD ASSY,LH</v>
          </cell>
          <cell r="F860">
            <v>1482.99</v>
          </cell>
        </row>
        <row r="861">
          <cell r="D861">
            <v>289732100166</v>
          </cell>
          <cell r="E861" t="str">
            <v>UPPER WISHBONE ASSY,RH</v>
          </cell>
          <cell r="F861">
            <v>2140.63</v>
          </cell>
        </row>
        <row r="862">
          <cell r="D862">
            <v>289732100167</v>
          </cell>
          <cell r="E862" t="str">
            <v>UPPER WISHBONE ASSY,LH</v>
          </cell>
          <cell r="F862">
            <v>2140.63</v>
          </cell>
        </row>
        <row r="863">
          <cell r="D863">
            <v>287032100101</v>
          </cell>
          <cell r="E863" t="str">
            <v>ASSY UPPER WISHBONE COMPLETE-RH</v>
          </cell>
          <cell r="F863">
            <v>1526.29</v>
          </cell>
        </row>
        <row r="864">
          <cell r="D864">
            <v>287032100104</v>
          </cell>
          <cell r="E864" t="str">
            <v>ASSY UPPER WISHBONE COMPLETE-LH</v>
          </cell>
          <cell r="F864">
            <v>1526.29</v>
          </cell>
        </row>
        <row r="865">
          <cell r="D865">
            <v>222970160132</v>
          </cell>
          <cell r="E865" t="str">
            <v>SUPD ASSY,RH</v>
          </cell>
          <cell r="F865">
            <v>2978.56</v>
          </cell>
        </row>
        <row r="866">
          <cell r="D866">
            <v>222970160189</v>
          </cell>
          <cell r="E866" t="str">
            <v>SUPD ASSY</v>
          </cell>
          <cell r="F866">
            <v>1175.3599999999999</v>
          </cell>
        </row>
        <row r="867">
          <cell r="D867">
            <v>251826517101</v>
          </cell>
          <cell r="E867" t="str">
            <v>LUG SHIFTER FORK (1/REV.SPEED)</v>
          </cell>
          <cell r="F867">
            <v>1.78</v>
          </cell>
        </row>
        <row r="868">
          <cell r="D868">
            <v>290031700154</v>
          </cell>
          <cell r="E868" t="str">
            <v>BRACKET ASSY,RUPD MTG,RH</v>
          </cell>
          <cell r="F868">
            <v>527.77</v>
          </cell>
        </row>
        <row r="869">
          <cell r="D869">
            <v>290031700155</v>
          </cell>
          <cell r="E869" t="str">
            <v>BRACKET ASSY,RUPD MTG,LH</v>
          </cell>
          <cell r="F869">
            <v>527.77</v>
          </cell>
        </row>
        <row r="870">
          <cell r="D870">
            <v>552970100121</v>
          </cell>
          <cell r="E870" t="str">
            <v>SUPD ASSY,LH</v>
          </cell>
          <cell r="F870">
            <v>1190.81</v>
          </cell>
        </row>
        <row r="871">
          <cell r="D871">
            <v>552970100122</v>
          </cell>
          <cell r="E871" t="str">
            <v>SUPD ASSY,RH</v>
          </cell>
          <cell r="F871">
            <v>1171.54</v>
          </cell>
        </row>
        <row r="872">
          <cell r="D872">
            <v>552970100194</v>
          </cell>
          <cell r="E872" t="str">
            <v>SUPD ASSY,RH</v>
          </cell>
          <cell r="F872">
            <v>1172.53</v>
          </cell>
        </row>
        <row r="873">
          <cell r="D873">
            <v>552970100195</v>
          </cell>
          <cell r="E873" t="str">
            <v>SUPD ASSY,RH</v>
          </cell>
          <cell r="F873">
            <v>1242.22</v>
          </cell>
        </row>
        <row r="874">
          <cell r="D874">
            <v>270540300104</v>
          </cell>
          <cell r="E874" t="str">
            <v>ASSY.SPARE WHEEL CARRIER</v>
          </cell>
          <cell r="F874">
            <v>935.49</v>
          </cell>
        </row>
        <row r="875">
          <cell r="D875">
            <v>550733408207</v>
          </cell>
          <cell r="E875" t="str">
            <v>FRONT HUB COVER</v>
          </cell>
          <cell r="F875">
            <v>29.64</v>
          </cell>
        </row>
        <row r="876">
          <cell r="D876">
            <v>585889110126</v>
          </cell>
          <cell r="E876" t="str">
            <v>CROSS TUBE ASSY</v>
          </cell>
          <cell r="F876">
            <v>2279.21</v>
          </cell>
        </row>
        <row r="877">
          <cell r="D877">
            <v>277615608212</v>
          </cell>
          <cell r="E877" t="str">
            <v>BRACKET FOR W/H BRANCH SUPPORT ON TGH 69</v>
          </cell>
          <cell r="F877">
            <v>1.76</v>
          </cell>
        </row>
        <row r="878">
          <cell r="D878">
            <v>220729100111</v>
          </cell>
          <cell r="E878" t="str">
            <v>ASSY CLUTCH PEDAL COMPLETE</v>
          </cell>
          <cell r="F878">
            <v>156.85</v>
          </cell>
        </row>
        <row r="879">
          <cell r="D879">
            <v>264130100154</v>
          </cell>
          <cell r="E879" t="str">
            <v>ASSY.PEDAL LEVER COMPLETE.</v>
          </cell>
          <cell r="F879">
            <v>151.66999999999999</v>
          </cell>
        </row>
        <row r="880">
          <cell r="D880">
            <v>280930100107</v>
          </cell>
          <cell r="E880" t="str">
            <v>ASSY PEDAL</v>
          </cell>
          <cell r="F880">
            <v>156.88</v>
          </cell>
        </row>
        <row r="881">
          <cell r="D881">
            <v>222970150111</v>
          </cell>
          <cell r="E881" t="str">
            <v>SUPD ASSY,LH</v>
          </cell>
          <cell r="F881">
            <v>1487.45</v>
          </cell>
        </row>
        <row r="882">
          <cell r="D882">
            <v>222970150112</v>
          </cell>
          <cell r="E882" t="str">
            <v>SUPD ASSY,RH</v>
          </cell>
          <cell r="F882">
            <v>1487.45</v>
          </cell>
        </row>
        <row r="883">
          <cell r="D883">
            <v>252707120104</v>
          </cell>
          <cell r="E883" t="str">
            <v>BRACKET ASSY</v>
          </cell>
          <cell r="F883">
            <v>82.81</v>
          </cell>
        </row>
        <row r="884">
          <cell r="D884">
            <v>252722120112</v>
          </cell>
          <cell r="E884" t="str">
            <v>BRACKET ASSY,ENGINE MTG,RH</v>
          </cell>
          <cell r="F884">
            <v>939.96</v>
          </cell>
        </row>
        <row r="885">
          <cell r="D885">
            <v>252722120113</v>
          </cell>
          <cell r="E885" t="str">
            <v>BRACKET ASSY,ENGINE MTG,LH</v>
          </cell>
          <cell r="F885">
            <v>1115.2</v>
          </cell>
        </row>
        <row r="886">
          <cell r="D886">
            <v>253407143310</v>
          </cell>
          <cell r="E886" t="str">
            <v>SUPPORT BRACKET,HP LINES</v>
          </cell>
          <cell r="F886">
            <v>22.28</v>
          </cell>
        </row>
        <row r="887">
          <cell r="D887">
            <v>253409120198</v>
          </cell>
          <cell r="E887" t="str">
            <v>BRACKET ASSY</v>
          </cell>
          <cell r="F887">
            <v>23.06</v>
          </cell>
        </row>
        <row r="888">
          <cell r="D888">
            <v>253420100196</v>
          </cell>
          <cell r="E888" t="str">
            <v>BRACKET ASSY</v>
          </cell>
          <cell r="F888">
            <v>12.41</v>
          </cell>
        </row>
        <row r="889">
          <cell r="D889">
            <v>253420100199</v>
          </cell>
          <cell r="E889" t="str">
            <v>BRACKET ASSY</v>
          </cell>
          <cell r="F889">
            <v>10.130000000000001</v>
          </cell>
        </row>
        <row r="890">
          <cell r="D890">
            <v>285526824202</v>
          </cell>
          <cell r="E890" t="str">
            <v>CLAMP (CABLES)</v>
          </cell>
          <cell r="F890">
            <v>3.7</v>
          </cell>
        </row>
        <row r="891">
          <cell r="D891">
            <v>289849200170</v>
          </cell>
          <cell r="E891" t="str">
            <v>BRACKET ASSY</v>
          </cell>
          <cell r="F891">
            <v>43.38</v>
          </cell>
        </row>
        <row r="892">
          <cell r="D892">
            <v>550829000123</v>
          </cell>
          <cell r="E892" t="str">
            <v>CLUTCH PEDAL ASSY WITH MTG BKT</v>
          </cell>
          <cell r="F892">
            <v>681.63</v>
          </cell>
        </row>
        <row r="893">
          <cell r="D893">
            <v>550829000124</v>
          </cell>
          <cell r="E893" t="str">
            <v>BRAKE CONTROL ASSY</v>
          </cell>
          <cell r="F893">
            <v>783.53</v>
          </cell>
        </row>
        <row r="894">
          <cell r="D894">
            <v>570914118210</v>
          </cell>
          <cell r="E894" t="str">
            <v>SUPPORT BRACKET,EXHAUST ELBOW</v>
          </cell>
          <cell r="F894">
            <v>14.21</v>
          </cell>
        </row>
        <row r="895">
          <cell r="D895">
            <v>550246107101</v>
          </cell>
          <cell r="E895" t="str">
            <v>BENT PLATE</v>
          </cell>
          <cell r="F895">
            <v>6.54</v>
          </cell>
        </row>
        <row r="896">
          <cell r="D896">
            <v>550749213337</v>
          </cell>
          <cell r="E896" t="str">
            <v>BRACKET,CATCON MTG</v>
          </cell>
          <cell r="F896">
            <v>120.9</v>
          </cell>
        </row>
        <row r="897">
          <cell r="D897">
            <v>550749213334</v>
          </cell>
          <cell r="E897" t="str">
            <v>BRACKET,CATCON MTG</v>
          </cell>
          <cell r="F897">
            <v>106.84</v>
          </cell>
        </row>
        <row r="898">
          <cell r="D898">
            <v>264754608201</v>
          </cell>
          <cell r="E898" t="str">
            <v>CLAMP - W/H ROUTING</v>
          </cell>
          <cell r="F898">
            <v>2.15</v>
          </cell>
        </row>
        <row r="899">
          <cell r="D899">
            <v>265162103312</v>
          </cell>
          <cell r="E899" t="str">
            <v>BRACKET(CLUTCH &amp; BRAKE PEDAL SPRING MTG)</v>
          </cell>
          <cell r="F899">
            <v>4.41</v>
          </cell>
        </row>
        <row r="900">
          <cell r="D900">
            <v>550849203308</v>
          </cell>
          <cell r="E900" t="str">
            <v>BRACKET,FRONT PIPE MTG</v>
          </cell>
          <cell r="F900">
            <v>40.67</v>
          </cell>
        </row>
        <row r="901">
          <cell r="D901">
            <v>570650110111</v>
          </cell>
          <cell r="E901" t="str">
            <v>BRACKET ASSY</v>
          </cell>
          <cell r="F901">
            <v>8.84</v>
          </cell>
        </row>
        <row r="902">
          <cell r="D902">
            <v>585888210129</v>
          </cell>
          <cell r="E902" t="str">
            <v>PIPE ASSY,REAR FENDER MTG,LH</v>
          </cell>
          <cell r="F902">
            <v>815.19</v>
          </cell>
        </row>
        <row r="903">
          <cell r="D903">
            <v>585888210130</v>
          </cell>
          <cell r="E903" t="str">
            <v>PIPE ASSY,REAR FENDER MTG,RH</v>
          </cell>
          <cell r="F903">
            <v>952.5</v>
          </cell>
        </row>
        <row r="904">
          <cell r="D904">
            <v>222870150149</v>
          </cell>
          <cell r="E904" t="str">
            <v>SUPD ASSY,LH</v>
          </cell>
          <cell r="F904">
            <v>2141.19</v>
          </cell>
        </row>
        <row r="905">
          <cell r="D905">
            <v>222870150150</v>
          </cell>
          <cell r="E905" t="str">
            <v>SUPD ASSY,RH</v>
          </cell>
          <cell r="F905">
            <v>2141.19</v>
          </cell>
        </row>
        <row r="906">
          <cell r="D906">
            <v>222970011604</v>
          </cell>
          <cell r="E906" t="str">
            <v>SUPD ASSY,LH</v>
          </cell>
          <cell r="F906">
            <v>1299.97</v>
          </cell>
        </row>
        <row r="907">
          <cell r="D907">
            <v>222970011605</v>
          </cell>
          <cell r="E907" t="str">
            <v>SUPD ASSY,LH</v>
          </cell>
          <cell r="F907">
            <v>1279.92</v>
          </cell>
        </row>
        <row r="908">
          <cell r="D908">
            <v>222970100268</v>
          </cell>
          <cell r="E908" t="str">
            <v>SUPD ASSY,LH</v>
          </cell>
          <cell r="F908">
            <v>792.07</v>
          </cell>
        </row>
        <row r="909">
          <cell r="D909">
            <v>222970120124</v>
          </cell>
          <cell r="E909" t="str">
            <v>SUPD ASSY</v>
          </cell>
          <cell r="F909">
            <v>782.78</v>
          </cell>
        </row>
        <row r="910">
          <cell r="D910">
            <v>222970140187</v>
          </cell>
          <cell r="E910" t="str">
            <v>SUPD ASSY</v>
          </cell>
          <cell r="F910">
            <v>872.92</v>
          </cell>
        </row>
        <row r="911">
          <cell r="D911">
            <v>222970140197</v>
          </cell>
          <cell r="E911" t="str">
            <v>SUPD ASSY,RH</v>
          </cell>
          <cell r="F911">
            <v>1023.36</v>
          </cell>
        </row>
        <row r="912">
          <cell r="D912">
            <v>222970150171</v>
          </cell>
          <cell r="E912" t="str">
            <v>SUPD ASSY,RH</v>
          </cell>
          <cell r="F912">
            <v>1100.49</v>
          </cell>
        </row>
        <row r="913">
          <cell r="D913">
            <v>222970160128</v>
          </cell>
          <cell r="E913" t="str">
            <v>SUPD ASSY</v>
          </cell>
          <cell r="F913">
            <v>906.39</v>
          </cell>
        </row>
        <row r="914">
          <cell r="D914">
            <v>222970160130</v>
          </cell>
          <cell r="E914" t="str">
            <v>SUPD ASSY,LH</v>
          </cell>
          <cell r="F914">
            <v>3623.73</v>
          </cell>
        </row>
        <row r="915">
          <cell r="D915">
            <v>222970990398</v>
          </cell>
          <cell r="E915" t="str">
            <v>SUPD ASSY,LH</v>
          </cell>
          <cell r="F915">
            <v>1102.67</v>
          </cell>
        </row>
        <row r="916">
          <cell r="D916">
            <v>264181103304</v>
          </cell>
          <cell r="E916" t="str">
            <v>BRACKET</v>
          </cell>
          <cell r="F916">
            <v>4.8099999999999996</v>
          </cell>
        </row>
        <row r="917">
          <cell r="D917">
            <v>282170150101</v>
          </cell>
          <cell r="E917" t="str">
            <v>SUPD ASSY,LH</v>
          </cell>
          <cell r="F917">
            <v>1290.95</v>
          </cell>
        </row>
        <row r="918">
          <cell r="D918">
            <v>284558300108</v>
          </cell>
          <cell r="E918" t="str">
            <v>BRACKET</v>
          </cell>
          <cell r="F918">
            <v>10.86</v>
          </cell>
        </row>
        <row r="919">
          <cell r="D919">
            <v>289854603341</v>
          </cell>
          <cell r="E919" t="str">
            <v>BRACKET,EMS WIRING HARNESS CONNECTOR MTG</v>
          </cell>
          <cell r="F919">
            <v>17.91</v>
          </cell>
        </row>
        <row r="920">
          <cell r="D920">
            <v>289864700106</v>
          </cell>
          <cell r="E920" t="str">
            <v>REINFORCEMENT ASSY,REAR WALL</v>
          </cell>
          <cell r="F920">
            <v>26.12</v>
          </cell>
        </row>
        <row r="921">
          <cell r="D921">
            <v>222870110208</v>
          </cell>
          <cell r="E921" t="str">
            <v>SUPD ASSY</v>
          </cell>
          <cell r="F921">
            <v>546.97</v>
          </cell>
        </row>
        <row r="922">
          <cell r="D922">
            <v>222870130142</v>
          </cell>
          <cell r="E922" t="str">
            <v>SUPD ASSY,LH</v>
          </cell>
          <cell r="F922">
            <v>1290.27</v>
          </cell>
        </row>
        <row r="923">
          <cell r="D923">
            <v>222870150158</v>
          </cell>
          <cell r="E923" t="str">
            <v>SUPD ASSY</v>
          </cell>
          <cell r="F923">
            <v>1192.99</v>
          </cell>
        </row>
        <row r="924">
          <cell r="D924">
            <v>222970010137</v>
          </cell>
          <cell r="E924" t="str">
            <v>SUPD ASSY</v>
          </cell>
          <cell r="F924">
            <v>466.96</v>
          </cell>
        </row>
        <row r="925">
          <cell r="D925">
            <v>222970010140</v>
          </cell>
          <cell r="E925" t="str">
            <v>SUPD ASSY</v>
          </cell>
          <cell r="F925">
            <v>478.81</v>
          </cell>
        </row>
        <row r="926">
          <cell r="D926">
            <v>222970010148</v>
          </cell>
          <cell r="E926" t="str">
            <v>SUPD ASSY,RH</v>
          </cell>
          <cell r="F926">
            <v>798.76</v>
          </cell>
        </row>
        <row r="927">
          <cell r="D927">
            <v>222970010151</v>
          </cell>
          <cell r="E927" t="str">
            <v>SUPD ASSY,LH</v>
          </cell>
          <cell r="F927">
            <v>798.76</v>
          </cell>
        </row>
        <row r="928">
          <cell r="D928">
            <v>222970011606</v>
          </cell>
          <cell r="E928" t="str">
            <v>SUPD ASSY,RH</v>
          </cell>
          <cell r="F928">
            <v>1138.32</v>
          </cell>
        </row>
        <row r="929">
          <cell r="D929">
            <v>222970150119</v>
          </cell>
          <cell r="E929" t="str">
            <v>SUPD ASSY,LH</v>
          </cell>
          <cell r="F929">
            <v>1859.31</v>
          </cell>
        </row>
        <row r="930">
          <cell r="D930">
            <v>222970150120</v>
          </cell>
          <cell r="E930" t="str">
            <v>SUPD ASSY,RH</v>
          </cell>
          <cell r="F930">
            <v>1939.66</v>
          </cell>
        </row>
        <row r="931">
          <cell r="D931">
            <v>222970150130</v>
          </cell>
          <cell r="E931" t="str">
            <v>SUPD ASSY</v>
          </cell>
          <cell r="F931">
            <v>842.29</v>
          </cell>
        </row>
        <row r="932">
          <cell r="D932">
            <v>222970150136</v>
          </cell>
          <cell r="E932" t="str">
            <v>SUPD ASSY,LH</v>
          </cell>
          <cell r="F932">
            <v>882.74</v>
          </cell>
        </row>
        <row r="933">
          <cell r="D933">
            <v>222970150137</v>
          </cell>
          <cell r="E933" t="str">
            <v>SUPD ASSY,RH</v>
          </cell>
          <cell r="F933">
            <v>1129.82</v>
          </cell>
        </row>
        <row r="934">
          <cell r="D934">
            <v>222970150170</v>
          </cell>
          <cell r="E934" t="str">
            <v>SUPD ASSY,RH</v>
          </cell>
          <cell r="F934">
            <v>801.43</v>
          </cell>
        </row>
        <row r="935">
          <cell r="D935">
            <v>222970160107</v>
          </cell>
          <cell r="E935" t="str">
            <v>SUPD ASSY</v>
          </cell>
          <cell r="F935">
            <v>756.76</v>
          </cell>
        </row>
        <row r="936">
          <cell r="D936">
            <v>222970160108</v>
          </cell>
          <cell r="E936" t="str">
            <v>SUPD ASSY</v>
          </cell>
          <cell r="F936">
            <v>864.25</v>
          </cell>
        </row>
        <row r="937">
          <cell r="D937">
            <v>222970900128</v>
          </cell>
          <cell r="E937" t="str">
            <v>SUPD ASSY,LH</v>
          </cell>
          <cell r="F937">
            <v>1086.7</v>
          </cell>
        </row>
        <row r="938">
          <cell r="D938">
            <v>222970900129</v>
          </cell>
          <cell r="E938" t="str">
            <v>SUPD ASSY,RH</v>
          </cell>
          <cell r="F938">
            <v>1086.7</v>
          </cell>
        </row>
        <row r="939">
          <cell r="D939">
            <v>550530100101</v>
          </cell>
          <cell r="E939" t="str">
            <v>BRACKET ASSY,ACCELEARTOR PEDAL MTG</v>
          </cell>
          <cell r="F939">
            <v>45.45</v>
          </cell>
        </row>
        <row r="940">
          <cell r="D940">
            <v>222870130170</v>
          </cell>
          <cell r="E940" t="str">
            <v>SUPD ASSY,LH</v>
          </cell>
          <cell r="F940">
            <v>2161.7800000000002</v>
          </cell>
        </row>
        <row r="941">
          <cell r="D941">
            <v>222870130171</v>
          </cell>
          <cell r="E941" t="str">
            <v>SUPD ASSY,RH</v>
          </cell>
          <cell r="F941">
            <v>2161.77</v>
          </cell>
        </row>
        <row r="942">
          <cell r="D942">
            <v>222870140201</v>
          </cell>
          <cell r="E942" t="str">
            <v>SUPD ASSY LH</v>
          </cell>
          <cell r="F942">
            <v>759.26</v>
          </cell>
        </row>
        <row r="943">
          <cell r="D943">
            <v>222870140202</v>
          </cell>
          <cell r="E943" t="str">
            <v>SUPD ASSY RH</v>
          </cell>
          <cell r="F943">
            <v>759.26</v>
          </cell>
        </row>
        <row r="944">
          <cell r="D944">
            <v>222870150135</v>
          </cell>
          <cell r="E944" t="str">
            <v>SUPD ASSY,LH</v>
          </cell>
          <cell r="F944">
            <v>1410.32</v>
          </cell>
        </row>
        <row r="945">
          <cell r="D945">
            <v>222870160141</v>
          </cell>
          <cell r="E945" t="str">
            <v>SUPD ASSY,LH</v>
          </cell>
          <cell r="F945">
            <v>1149.83</v>
          </cell>
        </row>
        <row r="946">
          <cell r="D946">
            <v>222970100240</v>
          </cell>
          <cell r="E946" t="str">
            <v>SUPD ASSY,LH</v>
          </cell>
          <cell r="F946">
            <v>1455.77</v>
          </cell>
        </row>
        <row r="947">
          <cell r="D947">
            <v>222970100246</v>
          </cell>
          <cell r="E947" t="str">
            <v>SUPD ASSY,RH</v>
          </cell>
          <cell r="F947">
            <v>1455.77</v>
          </cell>
        </row>
        <row r="948">
          <cell r="D948">
            <v>222970100252</v>
          </cell>
          <cell r="E948" t="str">
            <v>SUPD ASSY,LH</v>
          </cell>
          <cell r="F948">
            <v>1634.86</v>
          </cell>
        </row>
        <row r="949">
          <cell r="D949">
            <v>222970100253</v>
          </cell>
          <cell r="E949" t="str">
            <v>SUPD ASSY,RH</v>
          </cell>
          <cell r="F949">
            <v>1245.53</v>
          </cell>
        </row>
        <row r="950">
          <cell r="D950">
            <v>222970130129</v>
          </cell>
          <cell r="E950" t="str">
            <v>SUPD ASSY,LH</v>
          </cell>
          <cell r="F950">
            <v>1276.78</v>
          </cell>
        </row>
        <row r="951">
          <cell r="D951">
            <v>222970130130</v>
          </cell>
          <cell r="E951" t="str">
            <v>SUPD ASSY,RH</v>
          </cell>
          <cell r="F951">
            <v>1680.23</v>
          </cell>
        </row>
        <row r="952">
          <cell r="D952">
            <v>222970140120</v>
          </cell>
          <cell r="E952" t="str">
            <v>SUPD ASSY,LH</v>
          </cell>
          <cell r="F952">
            <v>1739.73</v>
          </cell>
        </row>
        <row r="953">
          <cell r="D953">
            <v>222970140155</v>
          </cell>
          <cell r="E953" t="str">
            <v>SUPD ASSY</v>
          </cell>
          <cell r="F953">
            <v>568.70000000000005</v>
          </cell>
        </row>
        <row r="954">
          <cell r="D954">
            <v>222970140178</v>
          </cell>
          <cell r="E954" t="str">
            <v>SUPD ASSY,LH</v>
          </cell>
          <cell r="F954">
            <v>1821.57</v>
          </cell>
        </row>
        <row r="955">
          <cell r="D955">
            <v>222970140179</v>
          </cell>
          <cell r="E955" t="str">
            <v>SUPD ASSY,RH</v>
          </cell>
          <cell r="F955">
            <v>1821.57</v>
          </cell>
        </row>
        <row r="956">
          <cell r="D956">
            <v>222970140180</v>
          </cell>
          <cell r="E956" t="str">
            <v>SUPD ASSY</v>
          </cell>
          <cell r="F956">
            <v>736.8</v>
          </cell>
        </row>
        <row r="957">
          <cell r="D957">
            <v>222970150107</v>
          </cell>
          <cell r="E957" t="str">
            <v>SUPD ASSY,LH</v>
          </cell>
          <cell r="F957">
            <v>1956.79</v>
          </cell>
        </row>
        <row r="958">
          <cell r="D958">
            <v>222970150108</v>
          </cell>
          <cell r="E958" t="str">
            <v>SUPD ASSY,RH</v>
          </cell>
          <cell r="F958">
            <v>1526.37</v>
          </cell>
        </row>
        <row r="959">
          <cell r="D959">
            <v>222970160195</v>
          </cell>
          <cell r="E959" t="str">
            <v>SUPD ASSY</v>
          </cell>
          <cell r="F959">
            <v>976.5</v>
          </cell>
        </row>
        <row r="960">
          <cell r="D960">
            <v>222970900131</v>
          </cell>
          <cell r="E960" t="str">
            <v>SUPD ASSY,RH</v>
          </cell>
          <cell r="F960">
            <v>564.86</v>
          </cell>
        </row>
        <row r="961">
          <cell r="D961">
            <v>265129100199</v>
          </cell>
          <cell r="E961" t="str">
            <v>ASSY. BRAKE PEDAL (KAIZEN)</v>
          </cell>
          <cell r="F961">
            <v>133.53</v>
          </cell>
        </row>
        <row r="962">
          <cell r="D962">
            <v>265129200130</v>
          </cell>
          <cell r="E962" t="str">
            <v>ASSY. CLUTCH PEDAL (KAIZEN)</v>
          </cell>
          <cell r="F962">
            <v>133.06</v>
          </cell>
        </row>
        <row r="963">
          <cell r="D963">
            <v>265146800128</v>
          </cell>
          <cell r="E963" t="str">
            <v>ASSY RESERVOIR MTG</v>
          </cell>
          <cell r="F963">
            <v>153.94</v>
          </cell>
        </row>
        <row r="964">
          <cell r="D964">
            <v>265160110175</v>
          </cell>
          <cell r="E964" t="str">
            <v>ASSY.BRACKET(W/S WASHER BOTTLE MTG.)</v>
          </cell>
          <cell r="F964">
            <v>5.99</v>
          </cell>
        </row>
        <row r="965">
          <cell r="D965">
            <v>289861200112</v>
          </cell>
          <cell r="E965" t="str">
            <v>BRACKET ASSY</v>
          </cell>
          <cell r="F965">
            <v>42.24</v>
          </cell>
        </row>
        <row r="966">
          <cell r="D966">
            <v>264170100214</v>
          </cell>
          <cell r="E966" t="str">
            <v>ASSY.SIDE GUARD WITH SUPPORT</v>
          </cell>
          <cell r="F966">
            <v>582.21</v>
          </cell>
        </row>
        <row r="967">
          <cell r="D967">
            <v>278620143301</v>
          </cell>
          <cell r="E967" t="str">
            <v>BRACKET-RH (FOR FAN RING BOTTOM MTG) (B)</v>
          </cell>
          <cell r="F967">
            <v>19.21</v>
          </cell>
        </row>
        <row r="968">
          <cell r="D968">
            <v>278620143302</v>
          </cell>
          <cell r="E968" t="str">
            <v>BRACKET-LH (FOR FAN RING BOTTOM MTG) (B)</v>
          </cell>
          <cell r="F968">
            <v>19.21</v>
          </cell>
        </row>
        <row r="969">
          <cell r="D969">
            <v>253422107116</v>
          </cell>
          <cell r="E969" t="str">
            <v>LIFTING HOOK (FRONT)</v>
          </cell>
          <cell r="F969">
            <v>66.25</v>
          </cell>
        </row>
        <row r="970">
          <cell r="D970">
            <v>265132400183</v>
          </cell>
          <cell r="E970" t="str">
            <v>ASSY.SHACKLE (REAR SPRING)</v>
          </cell>
          <cell r="F970">
            <v>100.96</v>
          </cell>
        </row>
        <row r="971">
          <cell r="D971">
            <v>585864200101</v>
          </cell>
          <cell r="E971" t="str">
            <v>ASSY REINF TOP SNORKEL MTG LH</v>
          </cell>
          <cell r="F971">
            <v>22.06</v>
          </cell>
        </row>
        <row r="972">
          <cell r="D972" t="str">
            <v>284569500122ZY</v>
          </cell>
          <cell r="E972" t="str">
            <v>CLRPRT_ASY_1-HEADLINER BEADING ASSY</v>
          </cell>
          <cell r="F972">
            <v>57.72</v>
          </cell>
        </row>
        <row r="973">
          <cell r="D973">
            <v>284560208209</v>
          </cell>
          <cell r="E973" t="str">
            <v>BRACKET</v>
          </cell>
          <cell r="F973">
            <v>10.92</v>
          </cell>
        </row>
        <row r="974">
          <cell r="D974">
            <v>550749213333</v>
          </cell>
          <cell r="E974" t="str">
            <v>BRACKET,SILENCER MTG</v>
          </cell>
          <cell r="F974">
            <v>89.12</v>
          </cell>
        </row>
        <row r="975">
          <cell r="D975">
            <v>550749213335</v>
          </cell>
          <cell r="E975" t="str">
            <v>BRACKET,SILENCER MTG</v>
          </cell>
          <cell r="F975">
            <v>161.56</v>
          </cell>
        </row>
        <row r="976">
          <cell r="D976">
            <v>550749213339</v>
          </cell>
          <cell r="E976" t="str">
            <v>BRACKET,FRONT PIPE MTG</v>
          </cell>
          <cell r="F976">
            <v>165.31</v>
          </cell>
        </row>
        <row r="977">
          <cell r="D977">
            <v>289854608229</v>
          </cell>
          <cell r="E977" t="str">
            <v>BRACKET,WIRING HARNESS MTG</v>
          </cell>
          <cell r="F977">
            <v>3.67</v>
          </cell>
        </row>
        <row r="978">
          <cell r="D978">
            <v>269946208212</v>
          </cell>
          <cell r="E978" t="str">
            <v>BRACKET</v>
          </cell>
          <cell r="F978">
            <v>4.12</v>
          </cell>
        </row>
        <row r="979">
          <cell r="D979">
            <v>585862600139</v>
          </cell>
          <cell r="E979" t="str">
            <v>CAB ASSY,LIFTING NRW</v>
          </cell>
          <cell r="F979">
            <v>37.08</v>
          </cell>
        </row>
        <row r="980">
          <cell r="D980">
            <v>555066400101</v>
          </cell>
          <cell r="E980" t="str">
            <v>STRUCTURE ASSY,REAR</v>
          </cell>
          <cell r="F980">
            <v>1413.91</v>
          </cell>
        </row>
        <row r="981">
          <cell r="D981">
            <v>269854209981</v>
          </cell>
          <cell r="E981" t="str">
            <v>HORN MOUNTING BRACKET</v>
          </cell>
          <cell r="F981">
            <v>12.8</v>
          </cell>
        </row>
        <row r="982">
          <cell r="D982">
            <v>540754229907</v>
          </cell>
          <cell r="E982" t="str">
            <v>WASHER FRONT WASHER PLATE</v>
          </cell>
          <cell r="F982">
            <v>20.11</v>
          </cell>
        </row>
        <row r="983">
          <cell r="D983">
            <v>270554200105</v>
          </cell>
          <cell r="E983" t="str">
            <v>ASSY.BRACKET (FOR FUSE BOX &amp; RELAY)</v>
          </cell>
          <cell r="F983">
            <v>3.35</v>
          </cell>
        </row>
        <row r="984">
          <cell r="D984">
            <v>550849203322</v>
          </cell>
          <cell r="E984" t="str">
            <v>BRACKET,FRONT PIPE MTG</v>
          </cell>
          <cell r="F984">
            <v>32.74</v>
          </cell>
        </row>
        <row r="985">
          <cell r="D985">
            <v>550849200125</v>
          </cell>
          <cell r="E985" t="str">
            <v>BRACKET ASSY</v>
          </cell>
          <cell r="F985">
            <v>124.92</v>
          </cell>
        </row>
        <row r="986">
          <cell r="D986">
            <v>555470160106</v>
          </cell>
          <cell r="E986" t="str">
            <v>SUPD ASSY</v>
          </cell>
          <cell r="F986">
            <v>502.19</v>
          </cell>
        </row>
        <row r="987">
          <cell r="D987">
            <v>552970100200</v>
          </cell>
          <cell r="E987" t="str">
            <v>SUPD ASSY</v>
          </cell>
          <cell r="F987">
            <v>822.83</v>
          </cell>
        </row>
        <row r="988">
          <cell r="D988">
            <v>222970900205</v>
          </cell>
          <cell r="E988" t="str">
            <v>SUPD ASSY,RH</v>
          </cell>
          <cell r="F988">
            <v>1467.59</v>
          </cell>
        </row>
        <row r="989">
          <cell r="D989">
            <v>222970900210</v>
          </cell>
          <cell r="E989" t="str">
            <v>SUPD ASSY</v>
          </cell>
          <cell r="F989">
            <v>599.4</v>
          </cell>
        </row>
        <row r="990">
          <cell r="D990">
            <v>555449203301</v>
          </cell>
          <cell r="E990" t="str">
            <v>BRACKET,FRONT PIPE MTG</v>
          </cell>
          <cell r="F990">
            <v>62.58</v>
          </cell>
        </row>
        <row r="991">
          <cell r="D991">
            <v>252722107115</v>
          </cell>
          <cell r="E991" t="str">
            <v>LIFTING HOOK (FRONT)</v>
          </cell>
          <cell r="F991">
            <v>65.77</v>
          </cell>
        </row>
        <row r="992">
          <cell r="D992">
            <v>570650103386</v>
          </cell>
          <cell r="E992" t="str">
            <v>BRACKET</v>
          </cell>
          <cell r="F992">
            <v>131.35</v>
          </cell>
        </row>
        <row r="993">
          <cell r="D993">
            <v>253414113320</v>
          </cell>
          <cell r="E993" t="str">
            <v>BRACKET-1 (VACUUM RESERVOIR)</v>
          </cell>
          <cell r="F993">
            <v>14.68</v>
          </cell>
        </row>
        <row r="994">
          <cell r="D994">
            <v>251626307101</v>
          </cell>
          <cell r="E994" t="str">
            <v>GEAR BOX COVER FRONT LOWER</v>
          </cell>
          <cell r="F994">
            <v>53.58</v>
          </cell>
        </row>
        <row r="995">
          <cell r="D995">
            <v>253414110184</v>
          </cell>
          <cell r="E995" t="str">
            <v>ASSY. BRACKET(VACUUM MODULATOR)(B)</v>
          </cell>
          <cell r="F995">
            <v>100.12</v>
          </cell>
        </row>
        <row r="996">
          <cell r="D996">
            <v>284583750105</v>
          </cell>
          <cell r="E996" t="str">
            <v>BRACKET ASSY,AC PIPE MTG</v>
          </cell>
          <cell r="F996">
            <v>7.16</v>
          </cell>
        </row>
        <row r="997">
          <cell r="D997">
            <v>555470160107</v>
          </cell>
          <cell r="E997" t="str">
            <v>SUPD ASSY,RH</v>
          </cell>
          <cell r="F997">
            <v>817.9</v>
          </cell>
        </row>
        <row r="998">
          <cell r="D998">
            <v>252715148226</v>
          </cell>
          <cell r="E998" t="str">
            <v>BRACKET</v>
          </cell>
          <cell r="F998">
            <v>5.27</v>
          </cell>
        </row>
        <row r="999">
          <cell r="D999">
            <v>585889110186</v>
          </cell>
          <cell r="E999" t="str">
            <v>CROSS TUBE ASSY,TORSION BAR</v>
          </cell>
          <cell r="F999">
            <v>2752.25</v>
          </cell>
        </row>
        <row r="1000">
          <cell r="D1000">
            <v>264229100165</v>
          </cell>
          <cell r="E1000" t="str">
            <v>CLUTCH PEDAL ASSY WITH MTG BKT</v>
          </cell>
          <cell r="F1000">
            <v>1213.2</v>
          </cell>
        </row>
        <row r="1001">
          <cell r="D1001">
            <v>290031700167</v>
          </cell>
          <cell r="E1001" t="str">
            <v>BEAM ASSY,RUPD</v>
          </cell>
          <cell r="F1001">
            <v>986.63</v>
          </cell>
        </row>
        <row r="1002">
          <cell r="D1002">
            <v>277654700108</v>
          </cell>
          <cell r="E1002" t="str">
            <v>BRACKET ASSY,YAW RATE SENSOR MTG</v>
          </cell>
          <cell r="F1002">
            <v>88.16</v>
          </cell>
        </row>
        <row r="1003">
          <cell r="D1003">
            <v>290031700175</v>
          </cell>
          <cell r="E1003" t="str">
            <v>BEAM ASSY,RUPD</v>
          </cell>
          <cell r="F1003">
            <v>1886.75</v>
          </cell>
        </row>
        <row r="1004">
          <cell r="D1004">
            <v>289847508273</v>
          </cell>
          <cell r="E1004" t="str">
            <v>STONE GUARD</v>
          </cell>
          <cell r="F1004">
            <v>19.2</v>
          </cell>
        </row>
        <row r="1005">
          <cell r="D1005">
            <v>289847508274</v>
          </cell>
          <cell r="E1005" t="str">
            <v>STONE GUARD</v>
          </cell>
          <cell r="F1005">
            <v>19.2</v>
          </cell>
        </row>
        <row r="1006">
          <cell r="D1006">
            <v>289847508275</v>
          </cell>
          <cell r="E1006" t="str">
            <v>C-BRACKET</v>
          </cell>
          <cell r="F1006">
            <v>24.87</v>
          </cell>
        </row>
        <row r="1007">
          <cell r="D1007">
            <v>284583750113</v>
          </cell>
          <cell r="E1007" t="str">
            <v>BRACKET ASSY</v>
          </cell>
          <cell r="F1007">
            <v>6.98</v>
          </cell>
        </row>
        <row r="1008">
          <cell r="D1008">
            <v>284531900101</v>
          </cell>
          <cell r="E1008" t="str">
            <v>STONE GUARD ASSY</v>
          </cell>
          <cell r="F1008">
            <v>386.61</v>
          </cell>
        </row>
        <row r="1009">
          <cell r="D1009">
            <v>290031700164</v>
          </cell>
          <cell r="E1009" t="str">
            <v>BRACKET ASSY,RUPD MTG,RH</v>
          </cell>
          <cell r="F1009">
            <v>341.79</v>
          </cell>
        </row>
        <row r="1010">
          <cell r="D1010">
            <v>290031700165</v>
          </cell>
          <cell r="E1010" t="str">
            <v>BRACKET ASSY,RUPD MTG,LH</v>
          </cell>
          <cell r="F1010">
            <v>341.79</v>
          </cell>
        </row>
        <row r="1011">
          <cell r="D1011">
            <v>570620130119</v>
          </cell>
          <cell r="E1011" t="str">
            <v>SUPPORT BRACKET ASSY,T-CONNECTOR</v>
          </cell>
          <cell r="F1011">
            <v>39.840000000000003</v>
          </cell>
        </row>
        <row r="1012">
          <cell r="D1012">
            <v>570614113322</v>
          </cell>
          <cell r="E1012" t="str">
            <v>SUPPORT BRACKET</v>
          </cell>
          <cell r="F1012">
            <v>23.92</v>
          </cell>
        </row>
        <row r="1013">
          <cell r="D1013">
            <v>553254800106</v>
          </cell>
          <cell r="E1013" t="str">
            <v>BRACKET ASSY,P-CLAMP MTG</v>
          </cell>
          <cell r="F1013">
            <v>9.1199999999999992</v>
          </cell>
        </row>
        <row r="1014">
          <cell r="D1014">
            <v>517154800103</v>
          </cell>
          <cell r="E1014" t="str">
            <v>BRACKET ASSY,VECU MTG</v>
          </cell>
          <cell r="F1014">
            <v>76.900000000000006</v>
          </cell>
        </row>
        <row r="1015">
          <cell r="D1015">
            <v>550746700107</v>
          </cell>
          <cell r="E1015" t="str">
            <v>BRACKET ASSY,POWER STEERING PUMP MTG</v>
          </cell>
          <cell r="F1015">
            <v>76.31</v>
          </cell>
        </row>
        <row r="1016">
          <cell r="D1016">
            <v>252707143312</v>
          </cell>
          <cell r="E1016" t="str">
            <v>SUPPORT BRACKET (FOR HP LINES)</v>
          </cell>
          <cell r="F1016">
            <v>15.6</v>
          </cell>
        </row>
        <row r="1017">
          <cell r="D1017">
            <v>290054600101</v>
          </cell>
          <cell r="E1017" t="str">
            <v>BRACKET ASSY</v>
          </cell>
          <cell r="F1017">
            <v>111.56</v>
          </cell>
        </row>
        <row r="1018">
          <cell r="D1018" t="str">
            <v>52046017M10148</v>
          </cell>
          <cell r="E1018" t="str">
            <v>PANEL,TOP ASSY</v>
          </cell>
          <cell r="F1018">
            <v>524.84</v>
          </cell>
        </row>
        <row r="1019">
          <cell r="D1019" t="str">
            <v>52046017M10154</v>
          </cell>
          <cell r="E1019" t="str">
            <v>PANEL,TOP ASSY</v>
          </cell>
          <cell r="F1019">
            <v>398.45</v>
          </cell>
        </row>
        <row r="1020">
          <cell r="D1020" t="str">
            <v>52046017M10163</v>
          </cell>
          <cell r="E1020" t="str">
            <v>SIDE PANRL ASSY</v>
          </cell>
          <cell r="F1020">
            <v>573.38</v>
          </cell>
        </row>
        <row r="1021">
          <cell r="D1021">
            <v>517154700103</v>
          </cell>
          <cell r="E1021" t="str">
            <v>BRACKET ASSY,DATA LOGGER MTG</v>
          </cell>
          <cell r="F1021">
            <v>26.4</v>
          </cell>
        </row>
        <row r="1022">
          <cell r="D1022" t="str">
            <v>52046017M10152</v>
          </cell>
          <cell r="E1022" t="str">
            <v>PANEL,TOP ASSY</v>
          </cell>
          <cell r="F1022">
            <v>980.89</v>
          </cell>
        </row>
        <row r="1023">
          <cell r="D1023">
            <v>252722120151</v>
          </cell>
          <cell r="E1023" t="str">
            <v>BRACKET ASSY,ENGINE MTG</v>
          </cell>
          <cell r="F1023">
            <v>484.23</v>
          </cell>
        </row>
        <row r="1024">
          <cell r="D1024">
            <v>252722120152</v>
          </cell>
          <cell r="E1024" t="str">
            <v>BRACKET ASSY,ENGINE MTG</v>
          </cell>
          <cell r="F1024">
            <v>629.96</v>
          </cell>
        </row>
        <row r="1025">
          <cell r="D1025">
            <v>252722120153</v>
          </cell>
          <cell r="E1025" t="str">
            <v>BRACKET ASSY,ENGINE MTG</v>
          </cell>
          <cell r="F1025">
            <v>485.39</v>
          </cell>
        </row>
        <row r="1026">
          <cell r="D1026">
            <v>252722120154</v>
          </cell>
          <cell r="E1026" t="str">
            <v>BRACKET ASSY,ENGINE MTG</v>
          </cell>
          <cell r="F1026">
            <v>626.42999999999995</v>
          </cell>
        </row>
        <row r="1027">
          <cell r="D1027">
            <v>289833103306</v>
          </cell>
          <cell r="E1027" t="str">
            <v>REINFORCEMENT</v>
          </cell>
          <cell r="F1027">
            <v>10.83</v>
          </cell>
        </row>
        <row r="1028">
          <cell r="D1028">
            <v>284583750115</v>
          </cell>
          <cell r="E1028" t="str">
            <v>BRACKET ASSY,HEATER HOSE MTG</v>
          </cell>
          <cell r="F1028">
            <v>19.239999999999998</v>
          </cell>
        </row>
        <row r="1029">
          <cell r="D1029">
            <v>570654603301</v>
          </cell>
          <cell r="E1029" t="str">
            <v>BRACKET,ECU W/H SUPPORT</v>
          </cell>
          <cell r="F1029">
            <v>37.33</v>
          </cell>
        </row>
        <row r="1030">
          <cell r="D1030">
            <v>284563250111</v>
          </cell>
          <cell r="E1030" t="str">
            <v>BRACKET ASSY,B-PILLAR TRIM MTG,LOWER</v>
          </cell>
          <cell r="F1030">
            <v>53.06</v>
          </cell>
        </row>
        <row r="1031">
          <cell r="D1031">
            <v>284563250110</v>
          </cell>
          <cell r="E1031" t="str">
            <v>BRACKET ASSY,SIDE SUPPORT MTG</v>
          </cell>
          <cell r="F1031">
            <v>21.18</v>
          </cell>
        </row>
        <row r="1032">
          <cell r="D1032">
            <v>278609130397</v>
          </cell>
          <cell r="E1032" t="str">
            <v>ASSY.BRACKET(AIR INLET PIPE SUPPORT)</v>
          </cell>
          <cell r="F1032">
            <v>504.2</v>
          </cell>
        </row>
        <row r="1033">
          <cell r="D1033">
            <v>284566400140</v>
          </cell>
          <cell r="E1033" t="str">
            <v>STRUCTURE ASSY,LH</v>
          </cell>
          <cell r="F1033">
            <v>1777.97</v>
          </cell>
        </row>
        <row r="1034">
          <cell r="D1034">
            <v>284566428305</v>
          </cell>
          <cell r="E1034" t="str">
            <v>C-CHANNEL,MIDDLE</v>
          </cell>
          <cell r="F1034">
            <v>58.71</v>
          </cell>
        </row>
        <row r="1035">
          <cell r="D1035">
            <v>284566428304</v>
          </cell>
          <cell r="E1035" t="str">
            <v>C-CHANNEL,MIDDLE</v>
          </cell>
          <cell r="F1035">
            <v>58.71</v>
          </cell>
        </row>
        <row r="1036">
          <cell r="D1036">
            <v>284566400139</v>
          </cell>
          <cell r="E1036" t="str">
            <v>STRUCTURE ASSY,RH</v>
          </cell>
          <cell r="F1036">
            <v>1868.2</v>
          </cell>
        </row>
        <row r="1037">
          <cell r="D1037">
            <v>284566400138</v>
          </cell>
          <cell r="E1037" t="str">
            <v>STRUCTURE ASSY,RH</v>
          </cell>
          <cell r="F1037">
            <v>2491.66</v>
          </cell>
        </row>
        <row r="1038">
          <cell r="D1038">
            <v>284566400141</v>
          </cell>
          <cell r="E1038" t="str">
            <v>STRUCTURE ASSY,LH</v>
          </cell>
          <cell r="F1038">
            <v>1463.59</v>
          </cell>
        </row>
        <row r="1039">
          <cell r="D1039">
            <v>284566400143</v>
          </cell>
          <cell r="E1039" t="str">
            <v>STRUCTURE ASSY,REAR</v>
          </cell>
          <cell r="F1039">
            <v>5863.18</v>
          </cell>
        </row>
        <row r="1040">
          <cell r="D1040">
            <v>278901173328</v>
          </cell>
          <cell r="E1040" t="str">
            <v>BRACKET,OIL MIST SEPARATOR MTG</v>
          </cell>
          <cell r="F1040">
            <v>7.51</v>
          </cell>
        </row>
        <row r="1041">
          <cell r="D1041">
            <v>252714113342</v>
          </cell>
          <cell r="E1041" t="str">
            <v>SUPPORT BRACKET</v>
          </cell>
          <cell r="F1041">
            <v>10.77</v>
          </cell>
        </row>
        <row r="1042">
          <cell r="D1042">
            <v>570614113318</v>
          </cell>
          <cell r="E1042" t="str">
            <v>BRACKET ASSY</v>
          </cell>
          <cell r="F1042">
            <v>12.33</v>
          </cell>
        </row>
        <row r="1043">
          <cell r="D1043">
            <v>252714120117</v>
          </cell>
          <cell r="E1043" t="str">
            <v>BRACKET ASSY</v>
          </cell>
          <cell r="F1043">
            <v>989.47</v>
          </cell>
        </row>
        <row r="1044">
          <cell r="D1044">
            <v>252714113345</v>
          </cell>
          <cell r="E1044" t="str">
            <v>SUPPORT BRACKET</v>
          </cell>
          <cell r="F1044">
            <v>36.799999999999997</v>
          </cell>
        </row>
        <row r="1045">
          <cell r="D1045">
            <v>502380103306</v>
          </cell>
          <cell r="E1045" t="str">
            <v>L-BRACKET,CABLE SUPPORT</v>
          </cell>
          <cell r="F1045">
            <v>9.89</v>
          </cell>
        </row>
        <row r="1046">
          <cell r="D1046">
            <v>517180553346</v>
          </cell>
          <cell r="E1046" t="str">
            <v>CHANNEL</v>
          </cell>
          <cell r="F1046">
            <v>67.55</v>
          </cell>
        </row>
        <row r="1047">
          <cell r="D1047">
            <v>517143703319</v>
          </cell>
          <cell r="E1047" t="str">
            <v>AIR DRYER ASSY WITH MTG BKT</v>
          </cell>
          <cell r="F1047">
            <v>75.83</v>
          </cell>
        </row>
        <row r="1048">
          <cell r="D1048">
            <v>517180900138</v>
          </cell>
          <cell r="E1048" t="str">
            <v>BRACKET ASSY</v>
          </cell>
          <cell r="F1048">
            <v>152.69999999999999</v>
          </cell>
        </row>
        <row r="1049">
          <cell r="D1049">
            <v>517183750113</v>
          </cell>
          <cell r="E1049" t="str">
            <v>BRACKET ASSY,COMPRESSOR MTG</v>
          </cell>
          <cell r="F1049">
            <v>225.97</v>
          </cell>
        </row>
        <row r="1050">
          <cell r="D1050">
            <v>517183750124</v>
          </cell>
          <cell r="E1050" t="str">
            <v>CLAMP ASSY</v>
          </cell>
          <cell r="F1050">
            <v>25.7</v>
          </cell>
        </row>
        <row r="1051">
          <cell r="D1051">
            <v>517183753329</v>
          </cell>
          <cell r="E1051" t="str">
            <v>BRACKET</v>
          </cell>
          <cell r="F1051">
            <v>129.16</v>
          </cell>
        </row>
        <row r="1052">
          <cell r="D1052">
            <v>585888200243</v>
          </cell>
          <cell r="E1052" t="str">
            <v>PIPE ASSY,REAR FENDER MTG,LH</v>
          </cell>
          <cell r="F1052">
            <v>396.21</v>
          </cell>
        </row>
        <row r="1053">
          <cell r="D1053">
            <v>585888200244</v>
          </cell>
          <cell r="E1053" t="str">
            <v>PIPE ASSY,REAR FEDNER MTG,RH</v>
          </cell>
          <cell r="F1053">
            <v>295.89</v>
          </cell>
        </row>
        <row r="1054">
          <cell r="D1054">
            <v>585888200245</v>
          </cell>
          <cell r="E1054" t="str">
            <v>PIPE ASSY,REAR FENDER MTG,LH</v>
          </cell>
          <cell r="F1054">
            <v>325.27</v>
          </cell>
        </row>
        <row r="1055">
          <cell r="D1055">
            <v>585888200246</v>
          </cell>
          <cell r="E1055" t="str">
            <v>PIPE ASSY,REAR FENDER MTG,RH</v>
          </cell>
          <cell r="F1055">
            <v>325.27</v>
          </cell>
        </row>
        <row r="1056">
          <cell r="D1056">
            <v>517143700171</v>
          </cell>
          <cell r="E1056" t="str">
            <v>BRACKET ASSY,VACUUM CONNECTION</v>
          </cell>
          <cell r="F1056">
            <v>103.27</v>
          </cell>
        </row>
        <row r="1057">
          <cell r="D1057">
            <v>253420100229</v>
          </cell>
          <cell r="E1057" t="str">
            <v>BRACKET ASSY</v>
          </cell>
          <cell r="F1057">
            <v>10.62</v>
          </cell>
        </row>
        <row r="1058">
          <cell r="D1058">
            <v>517143100104</v>
          </cell>
          <cell r="E1058" t="str">
            <v>BRACKET ASSY,LCRV MTG</v>
          </cell>
          <cell r="F1058">
            <v>88.55</v>
          </cell>
        </row>
        <row r="1059">
          <cell r="D1059">
            <v>517132400114</v>
          </cell>
          <cell r="E1059" t="str">
            <v>BRACKET ASSY,BUMP STOPPER</v>
          </cell>
          <cell r="F1059">
            <v>188.08</v>
          </cell>
        </row>
        <row r="1060">
          <cell r="D1060">
            <v>517131540121</v>
          </cell>
          <cell r="E1060" t="str">
            <v>BRACKET ASSY,CRADLE MTG</v>
          </cell>
          <cell r="F1060">
            <v>305.54000000000002</v>
          </cell>
        </row>
        <row r="1061">
          <cell r="D1061">
            <v>517180110228</v>
          </cell>
          <cell r="E1061" t="str">
            <v>BRACKET,CABLE SUPPORT</v>
          </cell>
          <cell r="F1061">
            <v>376.87</v>
          </cell>
        </row>
        <row r="1062">
          <cell r="D1062">
            <v>517180110229</v>
          </cell>
          <cell r="E1062" t="str">
            <v>BRACKET,CABLE SUPPORT</v>
          </cell>
          <cell r="F1062">
            <v>398.45</v>
          </cell>
        </row>
        <row r="1063">
          <cell r="D1063">
            <v>289833103305</v>
          </cell>
          <cell r="E1063" t="str">
            <v>BRACKET</v>
          </cell>
          <cell r="F1063">
            <v>45.14</v>
          </cell>
        </row>
        <row r="1064">
          <cell r="D1064">
            <v>289847500124</v>
          </cell>
          <cell r="E1064" t="str">
            <v>BOX ASSY</v>
          </cell>
          <cell r="F1064">
            <v>273.8</v>
          </cell>
        </row>
        <row r="1065">
          <cell r="D1065" t="str">
            <v>52046017M10165</v>
          </cell>
          <cell r="E1065" t="str">
            <v>COVER ASSY</v>
          </cell>
          <cell r="F1065">
            <v>790.93</v>
          </cell>
        </row>
        <row r="1066">
          <cell r="D1066" t="str">
            <v>52046017M10126</v>
          </cell>
          <cell r="E1066" t="str">
            <v>PANEL ASSY</v>
          </cell>
          <cell r="F1066">
            <v>699.91</v>
          </cell>
        </row>
        <row r="1067">
          <cell r="D1067">
            <v>517183753327</v>
          </cell>
          <cell r="E1067" t="str">
            <v>BRACKET</v>
          </cell>
          <cell r="F1067">
            <v>130.88</v>
          </cell>
        </row>
        <row r="1068">
          <cell r="D1068">
            <v>517180110204</v>
          </cell>
          <cell r="E1068" t="str">
            <v>BRACKET ASSY,CHARGER SOCKET</v>
          </cell>
          <cell r="F1068">
            <v>440.56</v>
          </cell>
        </row>
        <row r="1069">
          <cell r="D1069">
            <v>517180903370</v>
          </cell>
          <cell r="E1069" t="str">
            <v>BRACKET</v>
          </cell>
          <cell r="F1069">
            <v>439.61</v>
          </cell>
        </row>
        <row r="1070">
          <cell r="D1070">
            <v>517180900136</v>
          </cell>
          <cell r="E1070" t="str">
            <v>BRACKET ASSY</v>
          </cell>
          <cell r="F1070">
            <v>397.54</v>
          </cell>
        </row>
        <row r="1071">
          <cell r="D1071">
            <v>289833800101</v>
          </cell>
          <cell r="E1071" t="str">
            <v>BRACKET ASSY</v>
          </cell>
          <cell r="F1071">
            <v>51.01</v>
          </cell>
        </row>
        <row r="1072">
          <cell r="D1072">
            <v>570650110184</v>
          </cell>
          <cell r="E1072" t="str">
            <v>BRACKET ASSY</v>
          </cell>
          <cell r="F1072">
            <v>117.87</v>
          </cell>
        </row>
        <row r="1073">
          <cell r="D1073">
            <v>289854603346</v>
          </cell>
          <cell r="E1073" t="str">
            <v>BRACKET EMS MTG</v>
          </cell>
          <cell r="F1073">
            <v>10.82</v>
          </cell>
        </row>
        <row r="1074">
          <cell r="D1074">
            <v>570609140108</v>
          </cell>
          <cell r="E1074" t="str">
            <v>BRACKET WITH SPACER</v>
          </cell>
          <cell r="F1074">
            <v>103.29</v>
          </cell>
        </row>
        <row r="1075">
          <cell r="D1075" t="str">
            <v>284569500119ZY</v>
          </cell>
          <cell r="E1075" t="str">
            <v>CLRPRT_ASY_1-HEADLINER BEADING ASSY</v>
          </cell>
          <cell r="F1075">
            <v>382.2</v>
          </cell>
        </row>
        <row r="1076">
          <cell r="D1076">
            <v>265162100160</v>
          </cell>
          <cell r="E1076" t="str">
            <v>ASSY. X MEM.D/B COMP.WITH SIDE SUPP.LHD</v>
          </cell>
          <cell r="F1076">
            <v>301.17</v>
          </cell>
        </row>
        <row r="1077">
          <cell r="D1077">
            <v>550631700123</v>
          </cell>
          <cell r="E1077" t="str">
            <v>BEAM ASSY,RUPD</v>
          </cell>
          <cell r="F1077">
            <v>1473.55</v>
          </cell>
        </row>
        <row r="1078">
          <cell r="D1078">
            <v>585883753306</v>
          </cell>
          <cell r="E1078" t="str">
            <v>BRACKET,AC PIPE MTG,LH</v>
          </cell>
          <cell r="F1078">
            <v>40.53</v>
          </cell>
        </row>
        <row r="1079">
          <cell r="D1079">
            <v>555583753304</v>
          </cell>
          <cell r="E1079" t="str">
            <v>BRACKET TOP, CONDENSER MOUNTING LH</v>
          </cell>
          <cell r="F1079">
            <v>12.85</v>
          </cell>
        </row>
        <row r="1080">
          <cell r="D1080">
            <v>555583753305</v>
          </cell>
          <cell r="E1080" t="str">
            <v>BRACKET TOP, CONDENSER MOUNTING RH</v>
          </cell>
          <cell r="F1080">
            <v>11.7</v>
          </cell>
        </row>
        <row r="1081">
          <cell r="D1081">
            <v>555583750108</v>
          </cell>
          <cell r="E1081" t="str">
            <v>BRACKET ASSY,AC PIPE MTG</v>
          </cell>
          <cell r="F1081">
            <v>10.97</v>
          </cell>
        </row>
        <row r="1082">
          <cell r="D1082">
            <v>555583750109</v>
          </cell>
          <cell r="E1082" t="str">
            <v>BRACKET ASSY,AC PIPE MTG</v>
          </cell>
          <cell r="F1082">
            <v>13.33</v>
          </cell>
        </row>
        <row r="1083">
          <cell r="D1083">
            <v>570601173303</v>
          </cell>
          <cell r="E1083" t="str">
            <v>OIL MIST SEPERATOR MOUNTING BRACKET</v>
          </cell>
          <cell r="F1083">
            <v>6.72</v>
          </cell>
        </row>
        <row r="1084">
          <cell r="D1084">
            <v>264747700102</v>
          </cell>
          <cell r="E1084" t="str">
            <v>COVER ASSY FUEL FILTER</v>
          </cell>
          <cell r="F1084">
            <v>377</v>
          </cell>
        </row>
        <row r="1085">
          <cell r="D1085">
            <v>264749200136</v>
          </cell>
          <cell r="E1085" t="str">
            <v>STONE GUARD ASSY</v>
          </cell>
          <cell r="F1085">
            <v>304.70999999999998</v>
          </cell>
        </row>
        <row r="1086">
          <cell r="D1086">
            <v>264749200143</v>
          </cell>
          <cell r="E1086" t="str">
            <v>COVER ASSY</v>
          </cell>
          <cell r="F1086">
            <v>320.24</v>
          </cell>
        </row>
        <row r="1087">
          <cell r="D1087">
            <v>289483400390</v>
          </cell>
          <cell r="E1087" t="str">
            <v>BRACKET,AC PIPE MTG</v>
          </cell>
          <cell r="F1087">
            <v>11.95</v>
          </cell>
        </row>
        <row r="1088">
          <cell r="D1088">
            <v>555483753302</v>
          </cell>
          <cell r="E1088" t="str">
            <v>BRACKET LH TOP</v>
          </cell>
          <cell r="F1088">
            <v>18.850000000000001</v>
          </cell>
        </row>
        <row r="1089">
          <cell r="D1089">
            <v>252714113363</v>
          </cell>
          <cell r="E1089" t="str">
            <v>SUPPORT,BASE PLATE</v>
          </cell>
          <cell r="F1089">
            <v>26.24</v>
          </cell>
        </row>
        <row r="1090">
          <cell r="D1090">
            <v>252713103309</v>
          </cell>
          <cell r="E1090" t="str">
            <v>SUPPORT BRACKET</v>
          </cell>
          <cell r="F1090">
            <v>10.36</v>
          </cell>
        </row>
        <row r="1091">
          <cell r="D1091">
            <v>270543808211</v>
          </cell>
          <cell r="E1091" t="str">
            <v>BRACKET FOR BRAKE PIPE (ON FRAME)</v>
          </cell>
          <cell r="F1091">
            <v>4.66</v>
          </cell>
        </row>
        <row r="1092">
          <cell r="D1092">
            <v>517142700111</v>
          </cell>
          <cell r="E1092" t="str">
            <v>LEVER ASSY</v>
          </cell>
          <cell r="F1092">
            <v>111.4</v>
          </cell>
        </row>
        <row r="1093">
          <cell r="D1093">
            <v>253423123305</v>
          </cell>
          <cell r="E1093" t="str">
            <v>SUPPORT BRACKET</v>
          </cell>
          <cell r="F1093">
            <v>10.65</v>
          </cell>
        </row>
        <row r="1094">
          <cell r="D1094">
            <v>503626803301</v>
          </cell>
          <cell r="E1094" t="str">
            <v>BRACKET TWISTED</v>
          </cell>
          <cell r="F1094">
            <v>9.92</v>
          </cell>
        </row>
        <row r="1095">
          <cell r="D1095">
            <v>550730100115</v>
          </cell>
          <cell r="E1095" t="str">
            <v>ASM.ACCELERATOR PEDAL MTG.BKT.(SECONDARY</v>
          </cell>
          <cell r="F1095">
            <v>18.97</v>
          </cell>
        </row>
        <row r="1096">
          <cell r="D1096">
            <v>264747708203</v>
          </cell>
          <cell r="E1096" t="str">
            <v>BOX COVER</v>
          </cell>
          <cell r="F1096">
            <v>58.57</v>
          </cell>
        </row>
        <row r="1097">
          <cell r="D1097">
            <v>557630100101</v>
          </cell>
          <cell r="E1097" t="str">
            <v>BRACKET ASSY,ACCELERATOR PEDAL MTG</v>
          </cell>
          <cell r="F1097">
            <v>80.31</v>
          </cell>
        </row>
        <row r="1098">
          <cell r="D1098">
            <v>570650110181</v>
          </cell>
          <cell r="E1098" t="str">
            <v>BRACKET ASSY,RADIATOR STAY ROD MTG</v>
          </cell>
          <cell r="F1098">
            <v>60.53</v>
          </cell>
        </row>
        <row r="1099">
          <cell r="D1099">
            <v>570650110182</v>
          </cell>
          <cell r="E1099" t="str">
            <v>BRACKET ASSY,RADIATOR STAY ROD MTG</v>
          </cell>
          <cell r="F1099">
            <v>60.53</v>
          </cell>
        </row>
        <row r="1100">
          <cell r="D1100">
            <v>290049200162</v>
          </cell>
          <cell r="E1100" t="str">
            <v>BRACKET ASSY,SM MTG</v>
          </cell>
          <cell r="F1100">
            <v>196.78</v>
          </cell>
        </row>
        <row r="1101">
          <cell r="D1101">
            <v>264747703301</v>
          </cell>
          <cell r="E1101" t="str">
            <v>BRACKET</v>
          </cell>
          <cell r="F1101">
            <v>273.83</v>
          </cell>
        </row>
        <row r="1102">
          <cell r="D1102">
            <v>554749203323</v>
          </cell>
          <cell r="E1102" t="str">
            <v>BRACKET</v>
          </cell>
          <cell r="F1102">
            <v>8.24</v>
          </cell>
        </row>
        <row r="1103">
          <cell r="D1103">
            <v>570622127110</v>
          </cell>
          <cell r="E1103" t="str">
            <v>ENGINE LIFTING HOOK</v>
          </cell>
          <cell r="F1103">
            <v>72.72</v>
          </cell>
        </row>
        <row r="1104">
          <cell r="D1104">
            <v>264747700104</v>
          </cell>
          <cell r="E1104" t="str">
            <v>SUPPORT BRACKET ASSY</v>
          </cell>
          <cell r="F1104">
            <v>47.7</v>
          </cell>
        </row>
        <row r="1105">
          <cell r="D1105">
            <v>511849203305</v>
          </cell>
          <cell r="E1105" t="str">
            <v>BRACKET,FRONT PIPE MTG</v>
          </cell>
          <cell r="F1105">
            <v>69.430000000000007</v>
          </cell>
        </row>
        <row r="1106">
          <cell r="D1106">
            <v>223449108204</v>
          </cell>
          <cell r="E1106" t="str">
            <v>CLAMP</v>
          </cell>
          <cell r="F1106">
            <v>67.06</v>
          </cell>
        </row>
        <row r="1107">
          <cell r="D1107">
            <v>570650110162</v>
          </cell>
          <cell r="E1107" t="str">
            <v>BRACKET ASSY</v>
          </cell>
          <cell r="F1107">
            <v>24.28</v>
          </cell>
        </row>
        <row r="1108">
          <cell r="D1108">
            <v>284531300111</v>
          </cell>
          <cell r="E1108" t="str">
            <v>PLATE ASSY</v>
          </cell>
          <cell r="F1108">
            <v>30.43</v>
          </cell>
        </row>
        <row r="1109">
          <cell r="D1109">
            <v>264160148220</v>
          </cell>
          <cell r="E1109" t="str">
            <v>BRACKET,BOTTOM</v>
          </cell>
          <cell r="F1109">
            <v>8.5500000000000007</v>
          </cell>
        </row>
        <row r="1110">
          <cell r="D1110">
            <v>252722107103</v>
          </cell>
          <cell r="E1110" t="str">
            <v>LIFTING HOOK,FRONT</v>
          </cell>
          <cell r="F1110">
            <v>61.79</v>
          </cell>
        </row>
        <row r="1111">
          <cell r="D1111">
            <v>278949103305</v>
          </cell>
          <cell r="E1111" t="str">
            <v>BRACKET,UREA SENSOR MTG</v>
          </cell>
          <cell r="F1111">
            <v>10.83</v>
          </cell>
        </row>
        <row r="1112">
          <cell r="D1112">
            <v>552946700109</v>
          </cell>
          <cell r="E1112" t="str">
            <v>BRACKET ASSY,RESERVOIR MTG</v>
          </cell>
          <cell r="F1112">
            <v>54.75</v>
          </cell>
        </row>
        <row r="1113">
          <cell r="D1113">
            <v>585726830105</v>
          </cell>
          <cell r="E1113" t="str">
            <v>HOOK ASSY WITH BRACKET</v>
          </cell>
          <cell r="F1113">
            <v>15.52</v>
          </cell>
        </row>
        <row r="1114">
          <cell r="D1114">
            <v>554154808201</v>
          </cell>
          <cell r="E1114" t="str">
            <v>BRACKET,MUSIC SYSTEM MTG,LH</v>
          </cell>
          <cell r="F1114">
            <v>7.09</v>
          </cell>
        </row>
        <row r="1115">
          <cell r="D1115">
            <v>554154808202</v>
          </cell>
          <cell r="E1115" t="str">
            <v>BRACKET,MUSIC SYSTEM MTG,RH</v>
          </cell>
          <cell r="F1115">
            <v>7.09</v>
          </cell>
        </row>
        <row r="1116">
          <cell r="D1116">
            <v>290054603301</v>
          </cell>
          <cell r="E1116" t="str">
            <v>BRACKET,WIRING HARNESS MTG</v>
          </cell>
          <cell r="F1116">
            <v>8.3800000000000008</v>
          </cell>
        </row>
        <row r="1117">
          <cell r="D1117">
            <v>554732807103</v>
          </cell>
          <cell r="E1117" t="str">
            <v>PLATE</v>
          </cell>
          <cell r="F1117">
            <v>106.35</v>
          </cell>
        </row>
        <row r="1118">
          <cell r="D1118">
            <v>555488200101</v>
          </cell>
          <cell r="E1118" t="str">
            <v>FENDER STRUCTURE ASSY,BOTTOM-LH</v>
          </cell>
          <cell r="F1118">
            <v>291.48</v>
          </cell>
        </row>
        <row r="1119">
          <cell r="D1119">
            <v>555488200102</v>
          </cell>
          <cell r="E1119" t="str">
            <v>BRACKET ASSY,FRONT FENDER MTG,RH</v>
          </cell>
          <cell r="F1119">
            <v>272.44</v>
          </cell>
        </row>
        <row r="1120">
          <cell r="D1120">
            <v>570650103359</v>
          </cell>
          <cell r="E1120" t="str">
            <v>BRACKET</v>
          </cell>
          <cell r="F1120">
            <v>125.93</v>
          </cell>
        </row>
        <row r="1121">
          <cell r="D1121">
            <v>278909130282</v>
          </cell>
          <cell r="E1121" t="str">
            <v>BRACKET ASSY,AIR INTAKE DUCT</v>
          </cell>
          <cell r="F1121">
            <v>19.16</v>
          </cell>
        </row>
        <row r="1122">
          <cell r="D1122">
            <v>553054608201</v>
          </cell>
          <cell r="E1122" t="str">
            <v>BATTERY CABLE MOUNTING BRACKET</v>
          </cell>
          <cell r="F1122">
            <v>10.59</v>
          </cell>
        </row>
        <row r="1123">
          <cell r="D1123">
            <v>550632308209</v>
          </cell>
          <cell r="E1123" t="str">
            <v>BRACKET,SHOCK ABSORBER MTG,LOWER-RH</v>
          </cell>
          <cell r="F1123">
            <v>38.89</v>
          </cell>
        </row>
        <row r="1124">
          <cell r="D1124">
            <v>550632308208</v>
          </cell>
          <cell r="E1124" t="str">
            <v>BRACKET,SHOCK ABSORBER MTG,LOWER-LH</v>
          </cell>
          <cell r="F1124">
            <v>38.89</v>
          </cell>
        </row>
        <row r="1125">
          <cell r="D1125">
            <v>552742700134</v>
          </cell>
          <cell r="E1125" t="str">
            <v>LEVER ASSY</v>
          </cell>
          <cell r="F1125">
            <v>221.56</v>
          </cell>
        </row>
        <row r="1126">
          <cell r="D1126">
            <v>570650103391</v>
          </cell>
          <cell r="E1126" t="str">
            <v>BRACKET</v>
          </cell>
          <cell r="F1126">
            <v>173.27</v>
          </cell>
        </row>
        <row r="1127">
          <cell r="D1127">
            <v>267389107137</v>
          </cell>
          <cell r="E1127" t="str">
            <v>PLATE</v>
          </cell>
          <cell r="F1127">
            <v>24.91</v>
          </cell>
        </row>
        <row r="1128">
          <cell r="D1128">
            <v>267389107138</v>
          </cell>
          <cell r="E1128" t="str">
            <v>PLATE</v>
          </cell>
          <cell r="F1128">
            <v>23.85</v>
          </cell>
        </row>
        <row r="1129">
          <cell r="D1129">
            <v>278950108218</v>
          </cell>
          <cell r="E1129" t="str">
            <v>STONE GUARD</v>
          </cell>
          <cell r="F1129">
            <v>81.239999999999995</v>
          </cell>
        </row>
        <row r="1130">
          <cell r="D1130">
            <v>278950110121</v>
          </cell>
          <cell r="E1130" t="str">
            <v>BRACKET SUPPORT ASSY,STONE GUARD,RH</v>
          </cell>
          <cell r="F1130">
            <v>21.95</v>
          </cell>
        </row>
        <row r="1131">
          <cell r="D1131">
            <v>278950110122</v>
          </cell>
          <cell r="E1131" t="str">
            <v>BRACKET SUPPORT ASSY,STONE GUARD,LH</v>
          </cell>
          <cell r="F1131">
            <v>20.97</v>
          </cell>
        </row>
        <row r="1132">
          <cell r="D1132">
            <v>552742700134</v>
          </cell>
          <cell r="E1132" t="str">
            <v>LEVER ASSY</v>
          </cell>
          <cell r="F1132">
            <v>221.56</v>
          </cell>
        </row>
        <row r="1133">
          <cell r="D1133">
            <v>570609140205</v>
          </cell>
          <cell r="E1133" t="str">
            <v>BRACKET ASSY</v>
          </cell>
          <cell r="F1133">
            <v>117.28</v>
          </cell>
        </row>
        <row r="1134">
          <cell r="D1134">
            <v>570609140206</v>
          </cell>
          <cell r="E1134" t="str">
            <v>BRACKET ASSY</v>
          </cell>
          <cell r="F1134">
            <v>49.26</v>
          </cell>
        </row>
        <row r="1135">
          <cell r="D1135">
            <v>550749210156</v>
          </cell>
          <cell r="E1135" t="str">
            <v>SPACER,UREA TANK MTG BKT</v>
          </cell>
          <cell r="F1135">
            <v>233.19</v>
          </cell>
        </row>
        <row r="1136">
          <cell r="D1136">
            <v>550749210155</v>
          </cell>
          <cell r="E1136" t="str">
            <v>SPACER,UREA TANK MTG BKT</v>
          </cell>
          <cell r="F1136">
            <v>233.19</v>
          </cell>
        </row>
        <row r="1137">
          <cell r="D1137">
            <v>253418170327</v>
          </cell>
          <cell r="E1137" t="str">
            <v>BRACKET</v>
          </cell>
          <cell r="F1137">
            <v>10.48</v>
          </cell>
        </row>
        <row r="1138">
          <cell r="D1138">
            <v>555449203328</v>
          </cell>
          <cell r="E1138" t="str">
            <v>BRACKET,FRONT PIPE MTG</v>
          </cell>
          <cell r="F1138">
            <v>43.51</v>
          </cell>
        </row>
        <row r="1139">
          <cell r="D1139">
            <v>264189120175</v>
          </cell>
          <cell r="E1139" t="str">
            <v>NUT PLATE ASSY,CAB MTG,REAR</v>
          </cell>
          <cell r="F1139">
            <v>38.85</v>
          </cell>
        </row>
        <row r="1140">
          <cell r="D1140">
            <v>264189120174</v>
          </cell>
          <cell r="E1140" t="str">
            <v>STUD ASSY</v>
          </cell>
          <cell r="F1140">
            <v>12.68</v>
          </cell>
        </row>
        <row r="1141">
          <cell r="D1141">
            <v>282188200101</v>
          </cell>
          <cell r="E1141" t="str">
            <v>PIPE ASSY,BOTTOM MTG,LH</v>
          </cell>
          <cell r="F1141">
            <v>254.62</v>
          </cell>
        </row>
        <row r="1142">
          <cell r="D1142">
            <v>282188200102</v>
          </cell>
          <cell r="E1142" t="str">
            <v>PIPE ASSY,BOTTOM MTG,RH</v>
          </cell>
          <cell r="F1142">
            <v>220.2</v>
          </cell>
        </row>
        <row r="1143">
          <cell r="D1143">
            <v>278914610102</v>
          </cell>
          <cell r="E1143" t="str">
            <v>BRACKET ASSY,MTG,PIPE,TC TO INTERCOOLER</v>
          </cell>
          <cell r="F1143">
            <v>26.46</v>
          </cell>
        </row>
        <row r="1144">
          <cell r="D1144">
            <v>555054800111</v>
          </cell>
          <cell r="E1144" t="str">
            <v>BRACKET ASSY</v>
          </cell>
          <cell r="F1144">
            <v>30.99</v>
          </cell>
        </row>
        <row r="1145">
          <cell r="D1145">
            <v>252703113302</v>
          </cell>
          <cell r="E1145" t="str">
            <v>COVER,FLYWHEEL HOUSING</v>
          </cell>
          <cell r="F1145">
            <v>15.89</v>
          </cell>
        </row>
        <row r="1146">
          <cell r="D1146">
            <v>555470110103</v>
          </cell>
          <cell r="E1146" t="str">
            <v>KIT-SUPD ASSY</v>
          </cell>
          <cell r="F1146">
            <v>527.87</v>
          </cell>
        </row>
        <row r="1147">
          <cell r="D1147">
            <v>555470110105</v>
          </cell>
          <cell r="E1147" t="str">
            <v>KIT-SUPD ASSY</v>
          </cell>
          <cell r="F1147">
            <v>551.71</v>
          </cell>
        </row>
        <row r="1148">
          <cell r="D1148">
            <v>555454510101</v>
          </cell>
          <cell r="E1148" t="str">
            <v>BRACKET ASSY,MAXI FUSE MTG</v>
          </cell>
          <cell r="F1148">
            <v>90.46</v>
          </cell>
        </row>
        <row r="1149">
          <cell r="D1149">
            <v>555446803301</v>
          </cell>
          <cell r="E1149" t="str">
            <v>BRACKET</v>
          </cell>
          <cell r="F1149">
            <v>11.54</v>
          </cell>
        </row>
        <row r="1150">
          <cell r="D1150">
            <v>554743810147</v>
          </cell>
          <cell r="E1150" t="str">
            <v>BRACKET</v>
          </cell>
          <cell r="F1150">
            <v>77.650000000000006</v>
          </cell>
        </row>
        <row r="1151">
          <cell r="D1151">
            <v>278909138208</v>
          </cell>
          <cell r="E1151" t="str">
            <v>BRACKET,SERVICE INDICATOR MTG</v>
          </cell>
          <cell r="F1151">
            <v>12.39</v>
          </cell>
        </row>
        <row r="1152">
          <cell r="D1152">
            <v>278909130279</v>
          </cell>
          <cell r="E1152" t="str">
            <v>BRACKET ASSY,AIR FILTER MTG</v>
          </cell>
          <cell r="F1152">
            <v>394.85</v>
          </cell>
        </row>
        <row r="1153">
          <cell r="D1153">
            <v>278914120159</v>
          </cell>
          <cell r="E1153" t="str">
            <v>BRACKET ASSY,VACUUM MODULATOR MTG</v>
          </cell>
          <cell r="F1153">
            <v>13.22</v>
          </cell>
        </row>
        <row r="1154">
          <cell r="D1154">
            <v>284583400195</v>
          </cell>
          <cell r="E1154" t="str">
            <v>BRACKET ASSY</v>
          </cell>
          <cell r="F1154">
            <v>18.899999999999999</v>
          </cell>
        </row>
        <row r="1155">
          <cell r="D1155">
            <v>264342108202</v>
          </cell>
          <cell r="E1155" t="str">
            <v>ANCHOR BRACKET</v>
          </cell>
          <cell r="F1155">
            <v>11.06</v>
          </cell>
        </row>
        <row r="1156">
          <cell r="D1156">
            <v>290058600102</v>
          </cell>
          <cell r="E1156" t="str">
            <v>290058600102</v>
          </cell>
          <cell r="F1156">
            <v>137.22999999999999</v>
          </cell>
        </row>
        <row r="1157">
          <cell r="D1157">
            <v>570650113305</v>
          </cell>
          <cell r="E1157" t="str">
            <v>570650113305</v>
          </cell>
          <cell r="F1157">
            <v>17.93</v>
          </cell>
        </row>
        <row r="1158">
          <cell r="D1158">
            <v>518146803302</v>
          </cell>
          <cell r="E1158" t="str">
            <v>BRACKET,PIPE CLAMP</v>
          </cell>
          <cell r="F1158">
            <v>17.149999999999999</v>
          </cell>
        </row>
        <row r="1159">
          <cell r="D1159" t="str">
            <v>284569500125ZY</v>
          </cell>
          <cell r="E1159" t="str">
            <v>CLRPRT_ASY_1-HEADLINER BEADING ASSY</v>
          </cell>
          <cell r="F1159">
            <v>272.17</v>
          </cell>
        </row>
        <row r="1160">
          <cell r="D1160">
            <v>550249200160</v>
          </cell>
          <cell r="E1160" t="str">
            <v>PLATE ASSY</v>
          </cell>
          <cell r="F1160">
            <v>15.32</v>
          </cell>
        </row>
        <row r="1161">
          <cell r="D1161">
            <v>550254600316</v>
          </cell>
          <cell r="E1161" t="str">
            <v>BRACKET ASSY,FUSE BOX MTG</v>
          </cell>
          <cell r="F1161">
            <v>54.26</v>
          </cell>
        </row>
        <row r="1162">
          <cell r="D1162">
            <v>517154800104</v>
          </cell>
          <cell r="E1162" t="str">
            <v>BRACKET ASSY,AIR BAG ECU &amp; BCM MTG</v>
          </cell>
          <cell r="F1162">
            <v>44.56</v>
          </cell>
        </row>
        <row r="1163">
          <cell r="D1163">
            <v>278949103308</v>
          </cell>
          <cell r="E1163" t="str">
            <v>BRACKET,SENSOR MTG</v>
          </cell>
          <cell r="F1163">
            <v>6.1</v>
          </cell>
        </row>
        <row r="1164">
          <cell r="D1164">
            <v>550249200147</v>
          </cell>
          <cell r="E1164" t="str">
            <v>BRACKET ASSY</v>
          </cell>
          <cell r="F1164">
            <v>28.33</v>
          </cell>
        </row>
        <row r="1165">
          <cell r="D1165">
            <v>550249203309</v>
          </cell>
          <cell r="E1165" t="str">
            <v>BRACKET,SUPPORT</v>
          </cell>
          <cell r="F1165">
            <v>3.94</v>
          </cell>
        </row>
        <row r="1166">
          <cell r="D1166">
            <v>289483750125</v>
          </cell>
          <cell r="E1166" t="str">
            <v>BRACKET ASSY,AC PIPE MTG</v>
          </cell>
          <cell r="F1166">
            <v>14.32</v>
          </cell>
        </row>
        <row r="1167">
          <cell r="D1167">
            <v>550254603314</v>
          </cell>
          <cell r="E1167" t="str">
            <v>BRACKET</v>
          </cell>
          <cell r="F1167">
            <v>6.08</v>
          </cell>
        </row>
        <row r="1168">
          <cell r="D1168">
            <v>550254603313</v>
          </cell>
          <cell r="E1168" t="str">
            <v>BRACKET</v>
          </cell>
          <cell r="F1168">
            <v>7.51</v>
          </cell>
        </row>
        <row r="1169">
          <cell r="D1169">
            <v>550254700111</v>
          </cell>
          <cell r="E1169" t="str">
            <v>BRACKET ASSY,TELEMATICS UNIT MTG</v>
          </cell>
          <cell r="F1169">
            <v>50.5</v>
          </cell>
        </row>
        <row r="1170">
          <cell r="D1170">
            <v>570650110395</v>
          </cell>
          <cell r="E1170" t="str">
            <v>570650110395</v>
          </cell>
          <cell r="F1170">
            <v>32.369999999999997</v>
          </cell>
        </row>
        <row r="1171">
          <cell r="D1171">
            <v>570650110396</v>
          </cell>
          <cell r="E1171" t="str">
            <v>570650110396</v>
          </cell>
          <cell r="F1171">
            <v>32.08</v>
          </cell>
        </row>
        <row r="1172">
          <cell r="D1172">
            <v>570614600167</v>
          </cell>
          <cell r="E1172" t="str">
            <v>570614600167</v>
          </cell>
          <cell r="F1172">
            <v>51.93</v>
          </cell>
        </row>
        <row r="1173">
          <cell r="D1173">
            <v>570614600168</v>
          </cell>
          <cell r="E1173" t="str">
            <v>570614600168</v>
          </cell>
          <cell r="F1173">
            <v>59.85</v>
          </cell>
        </row>
        <row r="1174">
          <cell r="D1174">
            <v>555470108205</v>
          </cell>
          <cell r="E1174" t="str">
            <v>REINFORCEMENT,BRACKET</v>
          </cell>
          <cell r="F1174">
            <v>16.12</v>
          </cell>
        </row>
        <row r="1175">
          <cell r="D1175" t="str">
            <v>55016100M10143</v>
          </cell>
          <cell r="E1175" t="str">
            <v>SUBSTRUCTURE ASSY WITH FLOOR</v>
          </cell>
          <cell r="F1175">
            <v>5409.66</v>
          </cell>
        </row>
        <row r="1176">
          <cell r="D1176">
            <v>553042308201</v>
          </cell>
          <cell r="E1176" t="str">
            <v>553042308201</v>
          </cell>
          <cell r="F1176">
            <v>13.49</v>
          </cell>
        </row>
        <row r="1177">
          <cell r="D1177">
            <v>265146200169</v>
          </cell>
          <cell r="E1177" t="str">
            <v>ASY.STEERING GEAR BOX MTG.BRACKET-RHD</v>
          </cell>
          <cell r="F1177">
            <v>1855.52</v>
          </cell>
        </row>
        <row r="1178">
          <cell r="D1178">
            <v>265146200170</v>
          </cell>
          <cell r="E1178" t="str">
            <v>ASSY STEERING GEAR BOX MTG.BRACKET (LHD)</v>
          </cell>
          <cell r="F1178">
            <v>1855.52</v>
          </cell>
        </row>
        <row r="1179">
          <cell r="D1179">
            <v>278914118223</v>
          </cell>
          <cell r="E1179" t="str">
            <v>COVER</v>
          </cell>
          <cell r="F1179">
            <v>15.19</v>
          </cell>
        </row>
        <row r="1180">
          <cell r="D1180">
            <v>503046803301</v>
          </cell>
          <cell r="E1180" t="str">
            <v>TWISTED BRACKET</v>
          </cell>
          <cell r="F1180">
            <v>11.11</v>
          </cell>
        </row>
        <row r="1181">
          <cell r="D1181">
            <v>570614600166</v>
          </cell>
          <cell r="E1181" t="str">
            <v>570614600166</v>
          </cell>
          <cell r="F1181">
            <v>41.39</v>
          </cell>
        </row>
        <row r="1182">
          <cell r="D1182">
            <v>278949100128</v>
          </cell>
          <cell r="E1182" t="str">
            <v>SUPPORT BRACKET ASSY</v>
          </cell>
          <cell r="F1182">
            <v>41.73</v>
          </cell>
        </row>
        <row r="1183">
          <cell r="D1183">
            <v>570601170197</v>
          </cell>
          <cell r="E1183" t="str">
            <v>BRACKET ASSY,DIPSTICK MTG</v>
          </cell>
          <cell r="F1183">
            <v>13.58</v>
          </cell>
        </row>
        <row r="1184">
          <cell r="D1184">
            <v>550140300103</v>
          </cell>
          <cell r="E1184" t="str">
            <v>550140300103</v>
          </cell>
          <cell r="F1184">
            <v>215.13</v>
          </cell>
        </row>
        <row r="1185">
          <cell r="D1185">
            <v>570650103396</v>
          </cell>
          <cell r="E1185" t="str">
            <v>BRACKET,RADIATOR BOTTOM MTG</v>
          </cell>
          <cell r="F1185">
            <v>74.75</v>
          </cell>
        </row>
        <row r="1186">
          <cell r="D1186">
            <v>570650100363</v>
          </cell>
          <cell r="E1186" t="str">
            <v>570650100363</v>
          </cell>
          <cell r="F1186">
            <v>50.97</v>
          </cell>
        </row>
        <row r="1187">
          <cell r="D1187">
            <v>570650100360</v>
          </cell>
          <cell r="E1187" t="str">
            <v>570650100360</v>
          </cell>
          <cell r="F1187">
            <v>66.010000000000005</v>
          </cell>
        </row>
        <row r="1188">
          <cell r="D1188">
            <v>570650100353</v>
          </cell>
          <cell r="E1188" t="str">
            <v>570650100353</v>
          </cell>
          <cell r="F1188">
            <v>70.44</v>
          </cell>
        </row>
        <row r="1189">
          <cell r="D1189">
            <v>570650100358</v>
          </cell>
          <cell r="E1189" t="str">
            <v>570650100358</v>
          </cell>
          <cell r="F1189">
            <v>942.26</v>
          </cell>
        </row>
        <row r="1190">
          <cell r="D1190">
            <v>585889110198</v>
          </cell>
          <cell r="E1190" t="str">
            <v>585889110198</v>
          </cell>
          <cell r="F1190">
            <v>92.89</v>
          </cell>
        </row>
        <row r="1191">
          <cell r="D1191">
            <v>585889110199</v>
          </cell>
          <cell r="E1191" t="str">
            <v>585889110199</v>
          </cell>
          <cell r="F1191">
            <v>92.89</v>
          </cell>
        </row>
        <row r="1192">
          <cell r="D1192">
            <v>222970160166</v>
          </cell>
          <cell r="E1192" t="str">
            <v>SUPD ASSY</v>
          </cell>
          <cell r="F1192">
            <v>925.23</v>
          </cell>
        </row>
        <row r="1193">
          <cell r="D1193">
            <v>555470160112</v>
          </cell>
          <cell r="E1193" t="str">
            <v>555470160112</v>
          </cell>
          <cell r="F1193">
            <v>511.14</v>
          </cell>
        </row>
        <row r="1194">
          <cell r="D1194">
            <v>222970160167</v>
          </cell>
          <cell r="E1194" t="str">
            <v>SUPD ASSY</v>
          </cell>
          <cell r="F1194">
            <v>262.10000000000002</v>
          </cell>
        </row>
        <row r="1195">
          <cell r="D1195">
            <v>555054603313</v>
          </cell>
          <cell r="E1195" t="str">
            <v>ESP WH MTG BKT</v>
          </cell>
          <cell r="F1195">
            <v>3.99</v>
          </cell>
        </row>
        <row r="1196">
          <cell r="D1196">
            <v>264172208255</v>
          </cell>
          <cell r="E1196" t="str">
            <v>REINFORCEMENT PLATE,LH</v>
          </cell>
          <cell r="F1196">
            <v>2.7</v>
          </cell>
        </row>
        <row r="1197">
          <cell r="D1197">
            <v>264172208258</v>
          </cell>
          <cell r="E1197" t="str">
            <v>REINFORCEMENT PLATE,RH</v>
          </cell>
          <cell r="F1197">
            <v>2.7</v>
          </cell>
        </row>
        <row r="1198">
          <cell r="D1198">
            <v>555446700101</v>
          </cell>
          <cell r="E1198" t="str">
            <v>BRACKET ASSY,RESERVOIR MTG</v>
          </cell>
          <cell r="F1198">
            <v>275.81</v>
          </cell>
        </row>
        <row r="1199">
          <cell r="D1199">
            <v>550254700110</v>
          </cell>
          <cell r="E1199" t="str">
            <v>BRACKET ASSY,GDCU UNIT MOUNTING</v>
          </cell>
          <cell r="F1199">
            <v>20.97</v>
          </cell>
        </row>
        <row r="1200">
          <cell r="D1200">
            <v>289870120114</v>
          </cell>
          <cell r="E1200" t="str">
            <v>289870120114</v>
          </cell>
          <cell r="F1200">
            <v>320.3</v>
          </cell>
        </row>
        <row r="1201">
          <cell r="D1201">
            <v>289461000109</v>
          </cell>
          <cell r="E1201" t="str">
            <v>SUBSTRUCTURE ASSY WITH FLOOR</v>
          </cell>
          <cell r="F1201">
            <v>7724.28</v>
          </cell>
        </row>
        <row r="1202">
          <cell r="D1202">
            <v>289461000104</v>
          </cell>
          <cell r="E1202" t="str">
            <v>SUBSTRUCTURE ASSY WITH FLOOR</v>
          </cell>
          <cell r="F1202">
            <v>7239.8</v>
          </cell>
        </row>
        <row r="1203">
          <cell r="D1203">
            <v>289461000125</v>
          </cell>
          <cell r="E1203" t="str">
            <v>SUBSTRUCTURE ASSY WITH FLOOR</v>
          </cell>
          <cell r="F1203">
            <v>7693.54</v>
          </cell>
        </row>
        <row r="1204">
          <cell r="D1204">
            <v>289461000170</v>
          </cell>
          <cell r="E1204" t="str">
            <v>ASSY SUBSTRUCTURE COMPLT WITH FLOORS LHD</v>
          </cell>
          <cell r="F1204">
            <v>7363.8</v>
          </cell>
        </row>
        <row r="1205">
          <cell r="D1205">
            <v>289461000172</v>
          </cell>
          <cell r="E1205" t="str">
            <v>ASSY SUBSTRUCTURE COMPLT WITH FLOORS LHD</v>
          </cell>
          <cell r="F1205">
            <v>8188.32</v>
          </cell>
        </row>
        <row r="1206">
          <cell r="D1206">
            <v>289461600188</v>
          </cell>
          <cell r="E1206" t="str">
            <v>SUBSTRUCTURE ASSY WITH FLOOR</v>
          </cell>
          <cell r="F1206">
            <v>8333.68</v>
          </cell>
        </row>
        <row r="1207">
          <cell r="D1207">
            <v>289661000134</v>
          </cell>
          <cell r="E1207" t="str">
            <v>FLOOR ASSY WITH SUBSTRUCTURE</v>
          </cell>
          <cell r="F1207">
            <v>5322.72</v>
          </cell>
        </row>
        <row r="1208">
          <cell r="D1208">
            <v>289661000143</v>
          </cell>
          <cell r="E1208" t="str">
            <v>SUBSTRUCTURE ASSY WITH FLOOR</v>
          </cell>
          <cell r="F1208">
            <v>5515.69</v>
          </cell>
        </row>
        <row r="1209">
          <cell r="D1209">
            <v>289861000101</v>
          </cell>
          <cell r="E1209" t="str">
            <v>FLOOR ASSY WITH SUBSTRUCTURE</v>
          </cell>
          <cell r="F1209">
            <v>5792.52</v>
          </cell>
        </row>
        <row r="1210">
          <cell r="D1210">
            <v>289861000112</v>
          </cell>
          <cell r="E1210" t="str">
            <v>FLOOR ASSY WITH SUBSTRUCTURE</v>
          </cell>
          <cell r="F1210">
            <v>6044.8</v>
          </cell>
        </row>
        <row r="1211">
          <cell r="D1211">
            <v>550161000107</v>
          </cell>
          <cell r="E1211" t="str">
            <v>FLOOR ASSY</v>
          </cell>
          <cell r="F1211">
            <v>5354.28</v>
          </cell>
        </row>
        <row r="1212">
          <cell r="D1212" t="str">
            <v>28986160M10103</v>
          </cell>
          <cell r="E1212" t="str">
            <v>FLOOR PANEL ASSY,FRONT</v>
          </cell>
          <cell r="F1212">
            <v>5842.83</v>
          </cell>
        </row>
        <row r="1213">
          <cell r="D1213">
            <v>550261000106</v>
          </cell>
          <cell r="E1213" t="str">
            <v>FLOOR ASSY WITH SUBSTRUCTURE</v>
          </cell>
          <cell r="F1213">
            <v>8280.6</v>
          </cell>
        </row>
        <row r="1214">
          <cell r="D1214" t="str">
            <v>55416100M10125</v>
          </cell>
          <cell r="E1214" t="str">
            <v>SUBSTRUCTURE ASSY WITH FLOOR</v>
          </cell>
          <cell r="F1214">
            <v>7528.89</v>
          </cell>
        </row>
        <row r="1215">
          <cell r="D1215" t="str">
            <v>28452632AG3R20</v>
          </cell>
          <cell r="E1215" t="str">
            <v>AMBULANCE_RESTRUCTURE_IN_APL_VIEW</v>
          </cell>
          <cell r="F1215">
            <v>94782.26</v>
          </cell>
        </row>
        <row r="1216">
          <cell r="D1216" t="str">
            <v>28453835AG3R20</v>
          </cell>
          <cell r="E1216" t="str">
            <v>AMBULANCE_RESTRUCTURE_IN_APL_VIEW</v>
          </cell>
          <cell r="F1216">
            <v>107139.81</v>
          </cell>
        </row>
        <row r="1217">
          <cell r="D1217" t="str">
            <v>55505935AG3R20</v>
          </cell>
          <cell r="E1217" t="str">
            <v>AMBULANCE_RESTRUCTURE_IN_APL_VIEW</v>
          </cell>
          <cell r="F1217">
            <v>156961.14000000001</v>
          </cell>
        </row>
        <row r="1218">
          <cell r="D1218" t="str">
            <v>55502635AG3R20</v>
          </cell>
          <cell r="E1218" t="str">
            <v>PORCLN_WHITE-AMBULANCE_RESTRUCTURE_IN_AP</v>
          </cell>
          <cell r="F1218">
            <v>156961.14000000001</v>
          </cell>
        </row>
        <row r="1219">
          <cell r="D1219" t="str">
            <v>55504632AG3R20</v>
          </cell>
          <cell r="E1219" t="str">
            <v>PORCLN_WHITE-AMBULANCE_RESTRUCTURE_IN_AP</v>
          </cell>
          <cell r="F1219">
            <v>141176.49</v>
          </cell>
        </row>
        <row r="1220">
          <cell r="D1220" t="str">
            <v>55504732AG3R20</v>
          </cell>
          <cell r="E1220" t="str">
            <v>PORCLN_WHITE-AMBULANCE_RESTRUCTURE_IN_AP</v>
          </cell>
          <cell r="F1220">
            <v>141176.51</v>
          </cell>
        </row>
        <row r="1221">
          <cell r="D1221" t="str">
            <v>55507532AG3R20</v>
          </cell>
          <cell r="E1221" t="str">
            <v>PORCLN_WHITE-WINGER FL AMB-B 3200 7+PAC</v>
          </cell>
          <cell r="F1221">
            <v>141176.51</v>
          </cell>
        </row>
        <row r="1222">
          <cell r="D1222" t="str">
            <v>55507035AG3R20</v>
          </cell>
          <cell r="E1222" t="str">
            <v>PORCLN_WHITE-AMBULANCE_RESTRUCTURE_IN_AP</v>
          </cell>
          <cell r="F1222">
            <v>156961.14000000001</v>
          </cell>
        </row>
        <row r="1223">
          <cell r="D1223" t="str">
            <v>55507435AG3R20</v>
          </cell>
          <cell r="E1223" t="str">
            <v>PORCLN_WHITE-AMBULANCE_RESTRUCTURE_IN_AP</v>
          </cell>
          <cell r="F1223">
            <v>156961.14000000001</v>
          </cell>
        </row>
        <row r="1224">
          <cell r="D1224" t="str">
            <v>55507732AG3R20</v>
          </cell>
          <cell r="E1224" t="str">
            <v>PORCLN_WHITE-AMBULANCE_RESTRUCTURE_IN_AP</v>
          </cell>
          <cell r="F1224">
            <v>141176.49</v>
          </cell>
        </row>
        <row r="1225">
          <cell r="D1225" t="str">
            <v>55508035AFDR20</v>
          </cell>
          <cell r="E1225" t="str">
            <v>SK_GOLN_YELW-WINGER FL SK 3488 HR 21S</v>
          </cell>
          <cell r="F1225">
            <v>73139.91</v>
          </cell>
        </row>
        <row r="1226">
          <cell r="D1226" t="str">
            <v>55507935AFDR20</v>
          </cell>
          <cell r="E1226" t="str">
            <v>SK_GOLN_YELW-WINGER FL SK 3488 HR 21S</v>
          </cell>
          <cell r="F1226">
            <v>73139.91</v>
          </cell>
        </row>
        <row r="1227">
          <cell r="D1227" t="str">
            <v>55416100M10127</v>
          </cell>
          <cell r="E1227" t="str">
            <v>SUBSTRUCTURE ASSY WITH FLOOR</v>
          </cell>
          <cell r="F1227">
            <v>7836.48</v>
          </cell>
        </row>
        <row r="1228">
          <cell r="D1228" t="str">
            <v>55416100M10133</v>
          </cell>
          <cell r="E1228" t="str">
            <v>SUBSTRUCTURE ASSY WITH FLOOR</v>
          </cell>
          <cell r="F1228">
            <v>7658.18</v>
          </cell>
        </row>
        <row r="1229">
          <cell r="D1229">
            <v>289661000125</v>
          </cell>
          <cell r="E1229" t="str">
            <v>ASSY FLOOR STAGE I 2.2L RHD EURO V &amp; AIR</v>
          </cell>
          <cell r="F1229">
            <v>6223.67</v>
          </cell>
        </row>
        <row r="1230">
          <cell r="D1230" t="str">
            <v>28986100M10116</v>
          </cell>
          <cell r="E1230" t="str">
            <v>FLOOR ASSY WITH SUBSTRUCTURE</v>
          </cell>
          <cell r="F1230">
            <v>5924.98</v>
          </cell>
        </row>
        <row r="1231">
          <cell r="D1231" t="str">
            <v>55500735AFDR20</v>
          </cell>
          <cell r="E1231" t="str">
            <v>R20_RESTRUCTURED_IN_APL_VIEW</v>
          </cell>
          <cell r="F1231">
            <v>73139.91</v>
          </cell>
        </row>
        <row r="1232">
          <cell r="D1232" t="str">
            <v>28986160M10104</v>
          </cell>
          <cell r="E1232" t="str">
            <v>FLOOR PANEL ASSY,FRONT</v>
          </cell>
          <cell r="F1232">
            <v>5688.24</v>
          </cell>
        </row>
        <row r="1233">
          <cell r="D1233" t="str">
            <v>55508332AG3R20</v>
          </cell>
          <cell r="E1233" t="str">
            <v>R20_RESTRUCTURED_IN_APL_VIEW</v>
          </cell>
          <cell r="F1233">
            <v>141176.51</v>
          </cell>
        </row>
        <row r="1234">
          <cell r="D1234" t="str">
            <v>55500535AG3R20</v>
          </cell>
          <cell r="E1234" t="str">
            <v>R20_RESTRUCTURED_IN_APL_VIEW</v>
          </cell>
          <cell r="F1234">
            <v>156961.14000000001</v>
          </cell>
        </row>
        <row r="1235">
          <cell r="D1235">
            <v>289661000130</v>
          </cell>
          <cell r="E1235" t="str">
            <v>ASSY FLOOR STAGE I EXTENDED CAB 3150 WB</v>
          </cell>
          <cell r="F1235">
            <v>6089.89</v>
          </cell>
        </row>
        <row r="1236">
          <cell r="D1236" t="str">
            <v>265129103401PE</v>
          </cell>
          <cell r="E1236" t="str">
            <v>SINTERED BUSH BRAKE PEDAL PR436 2D1</v>
          </cell>
          <cell r="F1236">
            <v>19</v>
          </cell>
        </row>
        <row r="1237">
          <cell r="D1237" t="str">
            <v>265129108602PE</v>
          </cell>
          <cell r="E1237" t="str">
            <v>SPACER BRAKE 41 BRAKE PEDAL PR436 2D3</v>
          </cell>
          <cell r="F1237">
            <v>20</v>
          </cell>
        </row>
        <row r="1238">
          <cell r="D1238" t="str">
            <v>265129208403PE</v>
          </cell>
          <cell r="E1238" t="str">
            <v>BOSS 40 BRAKE PEDAL PR436 2D4</v>
          </cell>
          <cell r="F1238">
            <v>26</v>
          </cell>
        </row>
        <row r="1239">
          <cell r="D1239" t="str">
            <v>265829107704PE</v>
          </cell>
          <cell r="E1239" t="str">
            <v>RUBBER COVER BRAKE PEDAL PR436 2D2</v>
          </cell>
          <cell r="F1239">
            <v>18</v>
          </cell>
        </row>
        <row r="1240">
          <cell r="D1240" t="str">
            <v>LCBN290058604001PE</v>
          </cell>
          <cell r="E1240" t="str">
            <v>LCBN290058604001PE</v>
          </cell>
          <cell r="F1240">
            <v>153</v>
          </cell>
        </row>
        <row r="1241">
          <cell r="D1241" t="str">
            <v>LCBN290058604002PE</v>
          </cell>
          <cell r="E1241" t="str">
            <v>LCBN290058604002PE</v>
          </cell>
          <cell r="F1241">
            <v>40</v>
          </cell>
        </row>
        <row r="1242">
          <cell r="D1242" t="str">
            <v>LCBN290058604003PE</v>
          </cell>
          <cell r="E1242" t="str">
            <v>LCBN290058604003PE</v>
          </cell>
          <cell r="F1242">
            <v>155</v>
          </cell>
        </row>
        <row r="1243">
          <cell r="D1243" t="str">
            <v>LCBN550758604030PE</v>
          </cell>
          <cell r="E1243" t="str">
            <v>LCBN550758604030PE</v>
          </cell>
          <cell r="F1243">
            <v>148</v>
          </cell>
        </row>
        <row r="1244">
          <cell r="D1244" t="str">
            <v>265129208403PE</v>
          </cell>
          <cell r="E1244" t="str">
            <v>BOSS 40 BRAKE PEDAL PR436 2D4</v>
          </cell>
          <cell r="F1244">
            <v>26</v>
          </cell>
        </row>
        <row r="1245">
          <cell r="D1245" t="str">
            <v>265829107704PE</v>
          </cell>
          <cell r="E1245" t="str">
            <v>RUBBER COVER BRAKE PEDAL PR436 2D2</v>
          </cell>
          <cell r="F1245">
            <v>18</v>
          </cell>
        </row>
        <row r="1246">
          <cell r="D1246" t="str">
            <v>265129103401PE</v>
          </cell>
          <cell r="E1246" t="str">
            <v>SINTERED BUSH BRAKE PEDAL PR436 2D1</v>
          </cell>
          <cell r="F1246">
            <v>19</v>
          </cell>
        </row>
        <row r="1247">
          <cell r="D1247">
            <v>29202310192180</v>
          </cell>
          <cell r="E1247" t="str">
            <v>WINGER RDE 9+D SEAT FLOOR ARRANGEMENT</v>
          </cell>
          <cell r="F1247">
            <v>53381.78</v>
          </cell>
        </row>
        <row r="1248">
          <cell r="D1248">
            <v>292023122423</v>
          </cell>
          <cell r="E1248" t="str">
            <v>WINGER HVAC PROTO 8223</v>
          </cell>
          <cell r="F1248">
            <v>154052.63</v>
          </cell>
        </row>
        <row r="1249">
          <cell r="D1249">
            <v>221270900171</v>
          </cell>
          <cell r="E1249" t="str">
            <v>SUPD ASSY,LH</v>
          </cell>
          <cell r="F1249">
            <v>9684.9</v>
          </cell>
        </row>
        <row r="1250">
          <cell r="D1250">
            <v>221970900152</v>
          </cell>
          <cell r="E1250" t="str">
            <v>SUPD ASSY,RH</v>
          </cell>
          <cell r="F1250">
            <v>4994.32</v>
          </cell>
        </row>
        <row r="1251">
          <cell r="D1251">
            <v>221470100174</v>
          </cell>
          <cell r="E1251" t="str">
            <v>SUPD ASSY,LH</v>
          </cell>
          <cell r="F1251">
            <v>5011</v>
          </cell>
        </row>
        <row r="1252">
          <cell r="D1252">
            <v>582525108212</v>
          </cell>
          <cell r="E1252" t="str">
            <v>BACK COVER</v>
          </cell>
          <cell r="F1252">
            <v>13.29</v>
          </cell>
        </row>
        <row r="1253">
          <cell r="D1253">
            <v>585888203310</v>
          </cell>
          <cell r="E1253" t="str">
            <v>BRACKET,REAR FENDER PIPE &amp; REINF MTG</v>
          </cell>
          <cell r="F1253">
            <v>42</v>
          </cell>
        </row>
        <row r="1254">
          <cell r="D1254">
            <v>585889100201</v>
          </cell>
          <cell r="E1254" t="str">
            <v>ASSY BKT PUMP FENDER SIDE PRICOL</v>
          </cell>
          <cell r="F1254">
            <v>152</v>
          </cell>
        </row>
        <row r="1255">
          <cell r="D1255">
            <v>585888203309</v>
          </cell>
          <cell r="E1255" t="str">
            <v>WELDED SLEEVE FOR REAR FENDER MTG</v>
          </cell>
          <cell r="F1255">
            <v>78</v>
          </cell>
        </row>
        <row r="1256">
          <cell r="D1256">
            <v>550631700123</v>
          </cell>
          <cell r="E1256" t="str">
            <v>BEAM ASSY,RUPD</v>
          </cell>
          <cell r="F1256">
            <v>6100</v>
          </cell>
        </row>
        <row r="1257">
          <cell r="D1257">
            <v>55063170012301</v>
          </cell>
          <cell r="E1257" t="str">
            <v>BEAM ASSY RUPD WITH DEV COST</v>
          </cell>
          <cell r="F1257">
            <v>41100</v>
          </cell>
        </row>
        <row r="1258">
          <cell r="D1258">
            <v>257640300111</v>
          </cell>
          <cell r="E1258" t="str">
            <v>ASSY SPARE WHEEL CARRIER</v>
          </cell>
          <cell r="F1258">
            <v>4850</v>
          </cell>
        </row>
        <row r="1259">
          <cell r="D1259">
            <v>274765108202</v>
          </cell>
          <cell r="E1259" t="str">
            <v>ROOF BOW CENTRE</v>
          </cell>
          <cell r="F1259">
            <v>504</v>
          </cell>
        </row>
        <row r="1260">
          <cell r="D1260">
            <v>274765108202</v>
          </cell>
          <cell r="E1260" t="str">
            <v>ROOF BOW CENTRE</v>
          </cell>
          <cell r="F1260">
            <v>504</v>
          </cell>
        </row>
        <row r="1261">
          <cell r="D1261">
            <v>508846100103</v>
          </cell>
          <cell r="E1261" t="str">
            <v>SUPPORT BRACKET ASSY,STG COLUMN MTG</v>
          </cell>
          <cell r="F1261">
            <v>628.71</v>
          </cell>
        </row>
        <row r="1262">
          <cell r="D1262">
            <v>552970100155</v>
          </cell>
          <cell r="E1262" t="str">
            <v>SUPD ASSY</v>
          </cell>
          <cell r="F1262">
            <v>2001</v>
          </cell>
        </row>
        <row r="1263">
          <cell r="D1263">
            <v>222870170109</v>
          </cell>
          <cell r="E1263" t="str">
            <v>SUPD ASSY,RH</v>
          </cell>
          <cell r="F1263">
            <v>2768</v>
          </cell>
        </row>
        <row r="1264">
          <cell r="D1264">
            <v>222870170108</v>
          </cell>
          <cell r="E1264" t="str">
            <v>SUPD ASSY,LH</v>
          </cell>
          <cell r="F1264">
            <v>2768</v>
          </cell>
        </row>
        <row r="1265">
          <cell r="D1265">
            <v>552970100155</v>
          </cell>
          <cell r="E1265" t="str">
            <v>SUPD ASSY</v>
          </cell>
          <cell r="F1265">
            <v>2001</v>
          </cell>
        </row>
        <row r="1266">
          <cell r="D1266">
            <v>582525108212</v>
          </cell>
          <cell r="E1266" t="str">
            <v>BACK COVER</v>
          </cell>
          <cell r="F1266">
            <v>13.29</v>
          </cell>
        </row>
        <row r="1267">
          <cell r="D1267">
            <v>582525108212</v>
          </cell>
          <cell r="E1267" t="str">
            <v>BACK COVER</v>
          </cell>
          <cell r="F1267">
            <v>13.29</v>
          </cell>
        </row>
        <row r="1268">
          <cell r="D1268">
            <v>221370900160</v>
          </cell>
          <cell r="E1268" t="str">
            <v>SUPD ASSY,RH</v>
          </cell>
          <cell r="F1268">
            <v>7300</v>
          </cell>
        </row>
        <row r="1269">
          <cell r="D1269">
            <v>221370900161</v>
          </cell>
          <cell r="E1269" t="str">
            <v>SUPD ASSY,LH</v>
          </cell>
          <cell r="F1269">
            <v>7300</v>
          </cell>
        </row>
        <row r="1270">
          <cell r="D1270">
            <v>290070100102</v>
          </cell>
          <cell r="E1270" t="str">
            <v>SUPD ASSY,LH</v>
          </cell>
          <cell r="F1270">
            <v>1890.94</v>
          </cell>
        </row>
        <row r="1271">
          <cell r="D1271">
            <v>290070100103</v>
          </cell>
          <cell r="E1271" t="str">
            <v>SUPD ASSY,RH</v>
          </cell>
          <cell r="F1271">
            <v>1469.62</v>
          </cell>
        </row>
        <row r="1272">
          <cell r="D1272">
            <v>290070100108</v>
          </cell>
          <cell r="E1272" t="str">
            <v>SUPD ASSY</v>
          </cell>
          <cell r="F1272">
            <v>822.22</v>
          </cell>
        </row>
        <row r="1273">
          <cell r="D1273">
            <v>292024126111</v>
          </cell>
          <cell r="E1273" t="str">
            <v>WINGER 9+D SHELL ASSEMBLY</v>
          </cell>
          <cell r="F1273">
            <v>50000</v>
          </cell>
        </row>
        <row r="1274">
          <cell r="D1274">
            <v>550640300108</v>
          </cell>
          <cell r="E1274" t="str">
            <v>SPARE WHEEL CARRIER ASSY</v>
          </cell>
          <cell r="F1274">
            <v>2003.43</v>
          </cell>
        </row>
        <row r="1275">
          <cell r="D1275">
            <v>555470120102</v>
          </cell>
          <cell r="E1275" t="str">
            <v>SUPD ASSY</v>
          </cell>
          <cell r="F1275">
            <v>1668</v>
          </cell>
        </row>
        <row r="1276">
          <cell r="D1276">
            <v>292025016441</v>
          </cell>
          <cell r="E1276" t="str">
            <v>HINGE</v>
          </cell>
          <cell r="F1276">
            <v>15</v>
          </cell>
        </row>
        <row r="1277">
          <cell r="D1277">
            <v>264747709901</v>
          </cell>
          <cell r="E1277" t="str">
            <v>WIRE</v>
          </cell>
          <cell r="F1277">
            <v>35</v>
          </cell>
        </row>
        <row r="1278">
          <cell r="D1278">
            <v>26474770990110</v>
          </cell>
          <cell r="E1278" t="str">
            <v>WIRE DIA 2 MM</v>
          </cell>
          <cell r="F1278">
            <v>40</v>
          </cell>
        </row>
        <row r="1279">
          <cell r="D1279">
            <v>12220500801</v>
          </cell>
          <cell r="E1279" t="str">
            <v>WING NUT AM8 IS2636 SS9400</v>
          </cell>
          <cell r="F1279">
            <v>8</v>
          </cell>
        </row>
        <row r="1280">
          <cell r="D1280">
            <v>11520596013</v>
          </cell>
          <cell r="E1280" t="str">
            <v>WING SCREW M8X20 IS3727-4.6 SS8451-8C</v>
          </cell>
          <cell r="F1280">
            <v>25</v>
          </cell>
        </row>
        <row r="1281">
          <cell r="D1281">
            <v>13150606122</v>
          </cell>
          <cell r="E1281" t="str">
            <v>SPLIT PIN 2X12 IS549 SS8451-8C</v>
          </cell>
          <cell r="F1281">
            <v>0.6</v>
          </cell>
        </row>
        <row r="1282">
          <cell r="D1282">
            <v>554770100105</v>
          </cell>
          <cell r="E1282" t="str">
            <v>SUPD ASSY</v>
          </cell>
          <cell r="F1282">
            <v>2500</v>
          </cell>
        </row>
        <row r="1283">
          <cell r="D1283">
            <v>550640300108</v>
          </cell>
          <cell r="E1283" t="str">
            <v>SPARE WHEEL CARRIER ASSY</v>
          </cell>
          <cell r="F1283">
            <v>2003.43</v>
          </cell>
        </row>
        <row r="1284">
          <cell r="D1284">
            <v>550640300108</v>
          </cell>
          <cell r="E1284" t="str">
            <v>SPARE WHEEL CARRIER ASSY</v>
          </cell>
          <cell r="F1284">
            <v>2003.43</v>
          </cell>
        </row>
        <row r="1285">
          <cell r="D1285">
            <v>51717010016201</v>
          </cell>
          <cell r="E1285" t="str">
            <v>LEG ASSY SUPD ASSY WITH DEV COST CYGNUS</v>
          </cell>
          <cell r="F1285">
            <v>26740</v>
          </cell>
        </row>
        <row r="1286">
          <cell r="D1286">
            <v>51717010016101</v>
          </cell>
          <cell r="E1286" t="str">
            <v>LEG ASSY SUPD ASSY WITH DEV COST CYGNUS</v>
          </cell>
          <cell r="F1286">
            <v>26740</v>
          </cell>
        </row>
        <row r="1287">
          <cell r="D1287">
            <v>51717010015201</v>
          </cell>
          <cell r="E1287" t="str">
            <v>LEG ASSY SUPD ASSY WITH DEV COST CYGNUS</v>
          </cell>
          <cell r="F1287">
            <v>28490</v>
          </cell>
        </row>
        <row r="1288">
          <cell r="D1288">
            <v>51717010015101</v>
          </cell>
          <cell r="E1288" t="str">
            <v>LEG ASSY SUPD ASSY WITH DEV COST CYGNUS</v>
          </cell>
          <cell r="F1288">
            <v>29210</v>
          </cell>
        </row>
        <row r="1289">
          <cell r="D1289">
            <v>51717010014101</v>
          </cell>
          <cell r="E1289" t="str">
            <v>LEG ASSY SUPD ASSY WITH DEV COST CYGNUS</v>
          </cell>
          <cell r="F1289">
            <v>28290</v>
          </cell>
        </row>
        <row r="1290">
          <cell r="D1290">
            <v>51717010014001</v>
          </cell>
          <cell r="E1290" t="str">
            <v>LEG ASSY SUPD ASSY WITH DEV COST CYGNUS</v>
          </cell>
          <cell r="F1290">
            <v>26480</v>
          </cell>
        </row>
        <row r="1291">
          <cell r="D1291">
            <v>51717010013301</v>
          </cell>
          <cell r="E1291" t="str">
            <v>LEG ASSY SUPD ASSY WITH DEV COST CYGNUS</v>
          </cell>
          <cell r="F1291">
            <v>28295</v>
          </cell>
        </row>
        <row r="1292">
          <cell r="D1292">
            <v>51717010013201</v>
          </cell>
          <cell r="E1292" t="str">
            <v>LEG ASSY SUPD ASSY WITH DEV COST CYGNUS</v>
          </cell>
          <cell r="F1292">
            <v>26480</v>
          </cell>
        </row>
        <row r="1293">
          <cell r="D1293">
            <v>550640300108</v>
          </cell>
          <cell r="E1293" t="str">
            <v>SPARE WHEEL CARRIER ASSY</v>
          </cell>
          <cell r="F1293">
            <v>2003.43</v>
          </cell>
        </row>
        <row r="1294">
          <cell r="D1294">
            <v>585889110186</v>
          </cell>
          <cell r="E1294" t="str">
            <v>CROSS TUBE ASSY,TORSION BAR</v>
          </cell>
          <cell r="F1294">
            <v>2745.63</v>
          </cell>
        </row>
        <row r="1295">
          <cell r="D1295">
            <v>222970160188</v>
          </cell>
          <cell r="E1295" t="str">
            <v>SUPD ASSY</v>
          </cell>
          <cell r="F1295">
            <v>1983.7</v>
          </cell>
        </row>
        <row r="1296">
          <cell r="D1296">
            <v>222970160177</v>
          </cell>
          <cell r="E1296" t="str">
            <v>SUPD ASSY</v>
          </cell>
          <cell r="F1296">
            <v>3295.65</v>
          </cell>
        </row>
        <row r="1297">
          <cell r="D1297">
            <v>267389100167</v>
          </cell>
          <cell r="E1297" t="str">
            <v>CROSS TUBE ASSY,TORSION BAR</v>
          </cell>
          <cell r="F1297">
            <v>2000</v>
          </cell>
        </row>
        <row r="1298">
          <cell r="D1298">
            <v>26738910016701</v>
          </cell>
          <cell r="E1298" t="str">
            <v>CROSS TUBE ASSY,TORSON BAR WITH DEV COST</v>
          </cell>
          <cell r="F1298">
            <v>46000</v>
          </cell>
        </row>
        <row r="1299">
          <cell r="D1299">
            <v>550740300120</v>
          </cell>
          <cell r="E1299" t="str">
            <v>SPARE WHEEL CARRIER ASSY</v>
          </cell>
          <cell r="F1299">
            <v>6000</v>
          </cell>
        </row>
        <row r="1300">
          <cell r="D1300">
            <v>55074030012001</v>
          </cell>
          <cell r="E1300" t="str">
            <v>SPARE WHEEL CARRIER ASSY WITH DEV COST</v>
          </cell>
          <cell r="F1300">
            <v>55000</v>
          </cell>
        </row>
        <row r="1301">
          <cell r="D1301">
            <v>552970108267</v>
          </cell>
          <cell r="E1301" t="str">
            <v>REST PLATE</v>
          </cell>
          <cell r="F1301">
            <v>70</v>
          </cell>
        </row>
        <row r="1302">
          <cell r="D1302">
            <v>550740303201</v>
          </cell>
          <cell r="E1302" t="str">
            <v>EYE BOLT</v>
          </cell>
          <cell r="F1302">
            <v>100</v>
          </cell>
        </row>
        <row r="1303">
          <cell r="D1303">
            <v>222970150122</v>
          </cell>
          <cell r="E1303" t="str">
            <v>SUPD ASSY</v>
          </cell>
          <cell r="F1303">
            <v>1778.9</v>
          </cell>
        </row>
        <row r="1304">
          <cell r="D1304">
            <v>222970160188</v>
          </cell>
          <cell r="E1304" t="str">
            <v>SUPD ASSY</v>
          </cell>
          <cell r="F1304">
            <v>2096.96</v>
          </cell>
        </row>
        <row r="1305">
          <cell r="D1305">
            <v>222970160177</v>
          </cell>
          <cell r="E1305" t="str">
            <v>SUPD ASSY</v>
          </cell>
          <cell r="F1305">
            <v>3383.76</v>
          </cell>
        </row>
        <row r="1306">
          <cell r="D1306">
            <v>552729100170</v>
          </cell>
          <cell r="E1306" t="str">
            <v>CLUTCH PEDAL ASSY WITH MTG BKT</v>
          </cell>
          <cell r="F1306">
            <v>2900</v>
          </cell>
        </row>
        <row r="1307">
          <cell r="D1307">
            <v>55272910017001</v>
          </cell>
          <cell r="E1307" t="str">
            <v>55272910017001</v>
          </cell>
          <cell r="F1307">
            <v>238400</v>
          </cell>
        </row>
        <row r="1308">
          <cell r="D1308">
            <v>550640300108</v>
          </cell>
          <cell r="E1308" t="str">
            <v>SPARE WHEEL CARRIER ASSY</v>
          </cell>
          <cell r="F1308">
            <v>5225</v>
          </cell>
        </row>
        <row r="1309">
          <cell r="D1309">
            <v>284594000133</v>
          </cell>
          <cell r="E1309" t="str">
            <v>CO-DRIVER SEAT ASSY</v>
          </cell>
          <cell r="F1309">
            <v>3560</v>
          </cell>
        </row>
        <row r="1310">
          <cell r="D1310">
            <v>265731500101</v>
          </cell>
          <cell r="E1310" t="str">
            <v>PINTLE HOOK ASSY</v>
          </cell>
          <cell r="F1310">
            <v>383.63</v>
          </cell>
        </row>
        <row r="1311">
          <cell r="D1311">
            <v>222970160188</v>
          </cell>
          <cell r="E1311" t="str">
            <v>SUPD ASSY</v>
          </cell>
          <cell r="F1311">
            <v>2096.96</v>
          </cell>
        </row>
        <row r="1312">
          <cell r="D1312">
            <v>222970160177</v>
          </cell>
          <cell r="E1312" t="str">
            <v>SUPD ASSY</v>
          </cell>
          <cell r="F1312">
            <v>3383.76</v>
          </cell>
        </row>
        <row r="1313">
          <cell r="D1313">
            <v>221270900171</v>
          </cell>
          <cell r="E1313" t="str">
            <v>SUPD ASSY,LH</v>
          </cell>
          <cell r="F1313">
            <v>9000</v>
          </cell>
        </row>
        <row r="1314">
          <cell r="D1314">
            <v>221970900152</v>
          </cell>
          <cell r="E1314" t="str">
            <v>SUPD ASSY,RH</v>
          </cell>
          <cell r="F1314">
            <v>4700</v>
          </cell>
        </row>
        <row r="1315">
          <cell r="D1315">
            <v>555470160112</v>
          </cell>
          <cell r="E1315" t="str">
            <v>555470160112</v>
          </cell>
          <cell r="F1315">
            <v>1478</v>
          </cell>
        </row>
        <row r="1316">
          <cell r="D1316">
            <v>555470160112</v>
          </cell>
          <cell r="E1316" t="str">
            <v>555470160112</v>
          </cell>
          <cell r="F1316">
            <v>1478</v>
          </cell>
        </row>
        <row r="1317">
          <cell r="D1317">
            <v>222970160166</v>
          </cell>
          <cell r="E1317" t="str">
            <v>SUPD ASSY</v>
          </cell>
          <cell r="F1317">
            <v>2671.41</v>
          </cell>
        </row>
        <row r="1318">
          <cell r="D1318">
            <v>222970160167</v>
          </cell>
          <cell r="E1318" t="str">
            <v>SUPD ASSY</v>
          </cell>
          <cell r="F1318">
            <v>635.34</v>
          </cell>
        </row>
        <row r="1319">
          <cell r="D1319">
            <v>292026038932</v>
          </cell>
          <cell r="E1319" t="str">
            <v>292026038932</v>
          </cell>
          <cell r="F1319">
            <v>20350</v>
          </cell>
        </row>
        <row r="1320">
          <cell r="D1320">
            <v>550640300108</v>
          </cell>
          <cell r="E1320" t="str">
            <v>SPARE WHEEL CARRIER ASSY</v>
          </cell>
          <cell r="F1320">
            <v>11500</v>
          </cell>
        </row>
        <row r="1321">
          <cell r="D1321">
            <v>550640300108</v>
          </cell>
          <cell r="E1321" t="str">
            <v>SPARE WHEEL CARRIER ASSY</v>
          </cell>
          <cell r="F1321">
            <v>11500</v>
          </cell>
        </row>
        <row r="1322">
          <cell r="D1322">
            <v>284592030123</v>
          </cell>
          <cell r="E1322" t="str">
            <v>2ND ROW SEAT ASSY,RH</v>
          </cell>
          <cell r="F1322">
            <v>5330.12</v>
          </cell>
        </row>
        <row r="1323">
          <cell r="D1323" t="str">
            <v>#</v>
          </cell>
          <cell r="E1323" t="str">
            <v>Not assigned</v>
          </cell>
          <cell r="F1323">
            <v>3500</v>
          </cell>
        </row>
        <row r="1324">
          <cell r="D1324" t="str">
            <v>CAPITALDOMCGST</v>
          </cell>
          <cell r="E1324" t="str">
            <v>CAPITALDOMCGST</v>
          </cell>
          <cell r="F1324">
            <v>3262952</v>
          </cell>
        </row>
        <row r="1325">
          <cell r="D1325">
            <v>557654630103</v>
          </cell>
          <cell r="E1325" t="str">
            <v>BRACKET ASSY,CHANNEL MTG</v>
          </cell>
          <cell r="F1325">
            <v>5761.03</v>
          </cell>
        </row>
        <row r="1326">
          <cell r="D1326">
            <v>517180110236</v>
          </cell>
          <cell r="E1326" t="str">
            <v>Z-BRACKET,CABLE SUPPORT</v>
          </cell>
          <cell r="F1326">
            <v>28.84</v>
          </cell>
        </row>
        <row r="1327">
          <cell r="D1327">
            <v>557654630103</v>
          </cell>
          <cell r="E1327" t="str">
            <v>BRACKET ASSY,CHANNEL MTG</v>
          </cell>
          <cell r="F1327">
            <v>61.03</v>
          </cell>
        </row>
        <row r="1328">
          <cell r="D1328">
            <v>557631700105</v>
          </cell>
          <cell r="E1328" t="str">
            <v>CROSS BEAM ASSY,FUPD</v>
          </cell>
          <cell r="F1328">
            <v>2901.27</v>
          </cell>
        </row>
        <row r="1329">
          <cell r="D1329">
            <v>517143708602</v>
          </cell>
          <cell r="E1329" t="str">
            <v>SUPPORT PLATE</v>
          </cell>
          <cell r="F1329">
            <v>60.67</v>
          </cell>
        </row>
        <row r="1330">
          <cell r="D1330">
            <v>517143708603</v>
          </cell>
          <cell r="E1330" t="str">
            <v>SUPPORT PLATE</v>
          </cell>
          <cell r="F1330">
            <v>79.12</v>
          </cell>
        </row>
        <row r="1331">
          <cell r="D1331">
            <v>585861500108</v>
          </cell>
          <cell r="E1331" t="str">
            <v>BRACKET ASSY</v>
          </cell>
          <cell r="F1331">
            <v>223.74</v>
          </cell>
        </row>
        <row r="1332">
          <cell r="D1332" t="str">
            <v>D517180553346X1</v>
          </cell>
          <cell r="E1332" t="str">
            <v>CHANNEL-BLANKING</v>
          </cell>
          <cell r="F1332">
            <v>105539</v>
          </cell>
        </row>
        <row r="1333">
          <cell r="D1333" t="str">
            <v>D517180553346X2</v>
          </cell>
          <cell r="E1333" t="str">
            <v>CHANNEL-PIERCING</v>
          </cell>
          <cell r="F1333">
            <v>89551</v>
          </cell>
        </row>
        <row r="1334">
          <cell r="D1334" t="str">
            <v>D517180553346X3</v>
          </cell>
          <cell r="E1334" t="str">
            <v>CHANNEL-FORMING</v>
          </cell>
          <cell r="F1334">
            <v>123294</v>
          </cell>
        </row>
        <row r="1335">
          <cell r="D1335" t="str">
            <v>Q517180553346X1</v>
          </cell>
          <cell r="E1335" t="str">
            <v>CHANNEL-PANEL CHECKER</v>
          </cell>
          <cell r="F1335">
            <v>18596</v>
          </cell>
        </row>
        <row r="1336">
          <cell r="D1336" t="str">
            <v>D517183753329X1</v>
          </cell>
          <cell r="E1336" t="str">
            <v>BRACKET-FORMING 1ST</v>
          </cell>
          <cell r="F1336">
            <v>184996.42</v>
          </cell>
        </row>
        <row r="1337">
          <cell r="D1337" t="str">
            <v>D517183753329X2</v>
          </cell>
          <cell r="E1337" t="str">
            <v>BRACKET-FORMING 2ND</v>
          </cell>
          <cell r="F1337">
            <v>233328.82</v>
          </cell>
        </row>
        <row r="1338">
          <cell r="D1338" t="str">
            <v>D517183753329X3</v>
          </cell>
          <cell r="E1338" t="str">
            <v>BRACKET-PIERCING 2 STAGE</v>
          </cell>
          <cell r="F1338">
            <v>183249.38</v>
          </cell>
        </row>
        <row r="1339">
          <cell r="D1339" t="str">
            <v>Q517183753329X1</v>
          </cell>
          <cell r="E1339" t="str">
            <v>BRACKET-PANEL CHECKER</v>
          </cell>
          <cell r="F1339">
            <v>34999.32</v>
          </cell>
        </row>
        <row r="1340">
          <cell r="D1340" t="str">
            <v>D517183753327X1</v>
          </cell>
          <cell r="E1340" t="str">
            <v>BRACKET-BLANKING</v>
          </cell>
          <cell r="F1340">
            <v>158988.15</v>
          </cell>
        </row>
        <row r="1341">
          <cell r="D1341" t="str">
            <v>D517183753327X2</v>
          </cell>
          <cell r="E1341" t="str">
            <v>BRACKET-FORMING 1ST</v>
          </cell>
          <cell r="F1341">
            <v>184996.33</v>
          </cell>
        </row>
        <row r="1342">
          <cell r="D1342" t="str">
            <v>D517183753327X3</v>
          </cell>
          <cell r="E1342" t="str">
            <v>BRACKET-FORMING 2ND</v>
          </cell>
          <cell r="F1342">
            <v>233328.82</v>
          </cell>
        </row>
        <row r="1343">
          <cell r="D1343" t="str">
            <v>D517183753327X4</v>
          </cell>
          <cell r="E1343" t="str">
            <v>BRACKET-PIERCING 2 STAGE</v>
          </cell>
          <cell r="F1343">
            <v>183249.38</v>
          </cell>
        </row>
        <row r="1344">
          <cell r="D1344" t="str">
            <v>Q517183753327X1</v>
          </cell>
          <cell r="E1344" t="str">
            <v>BRACKET-PANEL CHECKER</v>
          </cell>
          <cell r="F1344">
            <v>34999.32</v>
          </cell>
        </row>
        <row r="1345">
          <cell r="D1345" t="str">
            <v>A517180110205X1</v>
          </cell>
          <cell r="E1345" t="str">
            <v>BRACKET ASSY.-CO2 TACK WELDING FIX 1ST</v>
          </cell>
          <cell r="F1345">
            <v>72870</v>
          </cell>
        </row>
        <row r="1346">
          <cell r="D1346" t="str">
            <v>A517180110205X2</v>
          </cell>
          <cell r="E1346" t="str">
            <v>BRACKET ASSY.-CO2 TACK WELDING FIX 2ND</v>
          </cell>
          <cell r="F1346">
            <v>79870</v>
          </cell>
        </row>
        <row r="1347">
          <cell r="D1347" t="str">
            <v>A517180110230X2</v>
          </cell>
          <cell r="E1347" t="str">
            <v>BRACKET ASSY.-CO2 TACK WELDING FIX 2ND 3</v>
          </cell>
          <cell r="F1347">
            <v>15620</v>
          </cell>
        </row>
        <row r="1348">
          <cell r="D1348" t="str">
            <v>D517180103324X1</v>
          </cell>
          <cell r="E1348" t="str">
            <v>BRACKET,CHARGER SOCKET MTG-BLANKING</v>
          </cell>
          <cell r="F1348">
            <v>161315.04</v>
          </cell>
        </row>
        <row r="1349">
          <cell r="D1349" t="str">
            <v>D517180103324X2</v>
          </cell>
          <cell r="E1349" t="str">
            <v>BRACKET,CHARGER SOCKET MTG- PIERCING 1ST</v>
          </cell>
          <cell r="F1349">
            <v>127148.7</v>
          </cell>
        </row>
        <row r="1350">
          <cell r="D1350" t="str">
            <v>D517180103324X3</v>
          </cell>
          <cell r="E1350" t="str">
            <v>BRACKET,CHARGER SOCKET MTG- PIERCING 2ND</v>
          </cell>
          <cell r="F1350">
            <v>152554.44</v>
          </cell>
        </row>
        <row r="1351">
          <cell r="D1351" t="str">
            <v>D517180103324X4</v>
          </cell>
          <cell r="E1351" t="str">
            <v>BRACKET,CHARGER SOCKET MTG-FORMING TOOL</v>
          </cell>
          <cell r="F1351">
            <v>325357.28000000003</v>
          </cell>
        </row>
        <row r="1352">
          <cell r="D1352" t="str">
            <v>D517180103325X1</v>
          </cell>
          <cell r="E1352" t="str">
            <v>BRACKET,CHARGER SOCKET MTG-BLANKG TOOL</v>
          </cell>
          <cell r="F1352">
            <v>121600.32000000001</v>
          </cell>
        </row>
        <row r="1353">
          <cell r="D1353" t="str">
            <v>D517180103325X2</v>
          </cell>
          <cell r="E1353" t="str">
            <v>BRACKET,CHARGER SOCKET MTG- PIERCNG TOOL</v>
          </cell>
          <cell r="F1353">
            <v>92106.3</v>
          </cell>
        </row>
        <row r="1354">
          <cell r="D1354" t="str">
            <v>D517180103325X3</v>
          </cell>
          <cell r="E1354" t="str">
            <v>BRACKET,CHARGER SOCKET MTG- FORMG TOOL</v>
          </cell>
          <cell r="F1354">
            <v>160474.01999999999</v>
          </cell>
        </row>
        <row r="1355">
          <cell r="D1355" t="str">
            <v>D517180103327X1</v>
          </cell>
          <cell r="E1355" t="str">
            <v>BRACKET CABLA SUPPORT-BLANKG&amp;PIE TOOL</v>
          </cell>
          <cell r="F1355">
            <v>74037.56</v>
          </cell>
        </row>
        <row r="1356">
          <cell r="D1356" t="str">
            <v>D517180103327X2</v>
          </cell>
          <cell r="E1356" t="str">
            <v>BRACKET CABLA SUPPORT- FORMING TOOL</v>
          </cell>
          <cell r="F1356">
            <v>100647.89</v>
          </cell>
        </row>
        <row r="1357">
          <cell r="D1357" t="str">
            <v>D517180103327X3</v>
          </cell>
          <cell r="E1357" t="str">
            <v>BRACKET CABLA SUPPORT- PIERCING TOOL</v>
          </cell>
          <cell r="F1357">
            <v>53559.66</v>
          </cell>
        </row>
        <row r="1358">
          <cell r="D1358" t="str">
            <v>D517180103328X1</v>
          </cell>
          <cell r="E1358" t="str">
            <v>BRACKET-BLANKING TOOL</v>
          </cell>
          <cell r="F1358">
            <v>65824.5</v>
          </cell>
        </row>
        <row r="1359">
          <cell r="D1359" t="str">
            <v>D517180103328X2</v>
          </cell>
          <cell r="E1359" t="str">
            <v>BRACKET- FORMING TOOL</v>
          </cell>
          <cell r="F1359">
            <v>78965.399999999994</v>
          </cell>
        </row>
        <row r="1360">
          <cell r="D1360" t="str">
            <v>D517180103330X1</v>
          </cell>
          <cell r="E1360" t="str">
            <v>RIB-BLANKING TOOL 3</v>
          </cell>
          <cell r="F1360">
            <v>57939.96</v>
          </cell>
        </row>
        <row r="1361">
          <cell r="D1361" t="str">
            <v>D517180108201X1</v>
          </cell>
          <cell r="E1361" t="str">
            <v>RIB-BLANKING TOOL 1</v>
          </cell>
          <cell r="F1361">
            <v>78600.38</v>
          </cell>
        </row>
        <row r="1362">
          <cell r="D1362" t="str">
            <v>D517180108202X1</v>
          </cell>
          <cell r="E1362" t="str">
            <v>RIB-BLANKING TOOL 2</v>
          </cell>
          <cell r="F1362">
            <v>73125</v>
          </cell>
        </row>
        <row r="1363">
          <cell r="D1363" t="str">
            <v>D517180110230X1</v>
          </cell>
          <cell r="E1363" t="str">
            <v>BRACKET ASSY-BLANKING TOOL</v>
          </cell>
          <cell r="F1363">
            <v>85535.84</v>
          </cell>
        </row>
        <row r="1364">
          <cell r="D1364" t="str">
            <v>D517180110230X2</v>
          </cell>
          <cell r="E1364" t="str">
            <v>BRACKET ASSY- PIERCING TOOL</v>
          </cell>
          <cell r="F1364">
            <v>65824.5</v>
          </cell>
        </row>
        <row r="1365">
          <cell r="D1365" t="str">
            <v>D517180110230X3</v>
          </cell>
          <cell r="E1365" t="str">
            <v>BRACKET ASSY- FORMING TOOL</v>
          </cell>
          <cell r="F1365">
            <v>107174.53</v>
          </cell>
        </row>
        <row r="1366">
          <cell r="D1366" t="str">
            <v>Q517180103324X1</v>
          </cell>
          <cell r="E1366" t="str">
            <v>BRACKET,CHARGER SOCKET MTG-PANEL CHECKR</v>
          </cell>
          <cell r="F1366">
            <v>48905.59</v>
          </cell>
        </row>
        <row r="1367">
          <cell r="D1367" t="str">
            <v>Q517180103325X1</v>
          </cell>
          <cell r="E1367" t="str">
            <v>BRACKET,CHARGER SOCKET MTG-PANL CHECKER</v>
          </cell>
          <cell r="F1367">
            <v>21986.46</v>
          </cell>
        </row>
        <row r="1368">
          <cell r="D1368" t="str">
            <v>Q517180103327X1</v>
          </cell>
          <cell r="E1368" t="str">
            <v>BRACKET CABLA SUPPORT-PANEL CHECKER</v>
          </cell>
          <cell r="F1368">
            <v>15199.18</v>
          </cell>
        </row>
        <row r="1369">
          <cell r="D1369" t="str">
            <v>Q517180103328X1</v>
          </cell>
          <cell r="E1369" t="str">
            <v>BRACKET-PANEL CHECKER</v>
          </cell>
          <cell r="F1369">
            <v>11946.47</v>
          </cell>
        </row>
        <row r="1370">
          <cell r="D1370" t="str">
            <v>Q517180103330X1</v>
          </cell>
          <cell r="E1370" t="str">
            <v>RIB-PANEL CHECKER 3</v>
          </cell>
          <cell r="F1370">
            <v>8792.99</v>
          </cell>
        </row>
        <row r="1371">
          <cell r="D1371" t="str">
            <v>Q517180108201X1</v>
          </cell>
          <cell r="E1371" t="str">
            <v>RIB-PANEL CHECKER 1</v>
          </cell>
          <cell r="F1371">
            <v>11892.06</v>
          </cell>
        </row>
        <row r="1372">
          <cell r="D1372" t="str">
            <v>Q517180108202X1</v>
          </cell>
          <cell r="E1372" t="str">
            <v>RIB-PANEL CHECKER 2</v>
          </cell>
          <cell r="F1372">
            <v>11070.75</v>
          </cell>
        </row>
        <row r="1373">
          <cell r="D1373" t="str">
            <v>Q517180110204X1</v>
          </cell>
          <cell r="E1373" t="str">
            <v>BRACKET ASSY,CHARGER SOCKT-ASY INSPEC FX</v>
          </cell>
          <cell r="F1373">
            <v>150120</v>
          </cell>
        </row>
        <row r="1374">
          <cell r="D1374" t="str">
            <v>Q517180110230X1</v>
          </cell>
          <cell r="E1374" t="str">
            <v>BRACKET ASSY-PANEL CHECKER</v>
          </cell>
          <cell r="F1374">
            <v>16178.18</v>
          </cell>
        </row>
        <row r="1375">
          <cell r="D1375" t="str">
            <v>A517132400114X1</v>
          </cell>
          <cell r="E1375" t="str">
            <v>BRACKET ASSY BUMP STOPPER-ASY WELDING FX</v>
          </cell>
          <cell r="F1375">
            <v>20120</v>
          </cell>
        </row>
        <row r="1376">
          <cell r="D1376" t="str">
            <v>D517132408203X1</v>
          </cell>
          <cell r="E1376" t="str">
            <v>PLATE-BLANKING</v>
          </cell>
          <cell r="F1376">
            <v>105300.77</v>
          </cell>
        </row>
        <row r="1377">
          <cell r="D1377" t="str">
            <v>D517132408203X2</v>
          </cell>
          <cell r="E1377" t="str">
            <v>PLATE-PIERCING</v>
          </cell>
          <cell r="F1377">
            <v>82292.479999999996</v>
          </cell>
        </row>
        <row r="1378">
          <cell r="D1378" t="str">
            <v>D517132408204X1</v>
          </cell>
          <cell r="E1378" t="str">
            <v>BRACKET ASSY BUMP STOPPER-BLANKING</v>
          </cell>
          <cell r="F1378">
            <v>80466.42</v>
          </cell>
        </row>
        <row r="1379">
          <cell r="D1379" t="str">
            <v>D517132408204X2</v>
          </cell>
          <cell r="E1379" t="str">
            <v>BRACKET ASSY BUMP STOPPER-FORMING</v>
          </cell>
          <cell r="F1379">
            <v>119248.96000000001</v>
          </cell>
        </row>
        <row r="1380">
          <cell r="D1380" t="str">
            <v>D517132408204X3</v>
          </cell>
          <cell r="E1380" t="str">
            <v>BRACKET ASSY BUMP STOPPER-SLOT PIERCING</v>
          </cell>
          <cell r="F1380">
            <v>70240.509999999995</v>
          </cell>
        </row>
        <row r="1381">
          <cell r="D1381" t="str">
            <v>Q517132400114X1</v>
          </cell>
          <cell r="E1381" t="str">
            <v>BRACKET ASSY BUMP STOPPER-ASSY INSP FX</v>
          </cell>
          <cell r="F1381">
            <v>18120</v>
          </cell>
        </row>
        <row r="1382">
          <cell r="D1382" t="str">
            <v>Q517132408203X1</v>
          </cell>
          <cell r="E1382" t="str">
            <v>PLATE-PANEL CHECKER</v>
          </cell>
          <cell r="F1382">
            <v>15897.12</v>
          </cell>
        </row>
        <row r="1383">
          <cell r="D1383" t="str">
            <v>Q517132408204X1</v>
          </cell>
          <cell r="E1383" t="str">
            <v>BRACKET ASSY BUMP STOPPER-PANEL CHECKER</v>
          </cell>
          <cell r="F1383">
            <v>15739.34</v>
          </cell>
        </row>
        <row r="1384">
          <cell r="D1384" t="str">
            <v>A517180900138X1</v>
          </cell>
          <cell r="E1384" t="str">
            <v>BRACKET ASSY-NUT WELDING FIXTURE</v>
          </cell>
          <cell r="F1384">
            <v>8120</v>
          </cell>
        </row>
        <row r="1385">
          <cell r="D1385" t="str">
            <v>A517180900138X2</v>
          </cell>
          <cell r="E1385" t="str">
            <v>BRACKET ASSY-WELDING FIXTURE</v>
          </cell>
          <cell r="F1385">
            <v>25120</v>
          </cell>
        </row>
        <row r="1386">
          <cell r="D1386" t="str">
            <v>D517180903362X1</v>
          </cell>
          <cell r="E1386" t="str">
            <v>BRACKET-PRE BLANKING TOOL</v>
          </cell>
          <cell r="F1386">
            <v>87726</v>
          </cell>
        </row>
        <row r="1387">
          <cell r="D1387" t="str">
            <v>D517180903363X1</v>
          </cell>
          <cell r="E1387" t="str">
            <v>BRACKET-BLANKING TOOL</v>
          </cell>
          <cell r="F1387">
            <v>95720.05</v>
          </cell>
        </row>
        <row r="1388">
          <cell r="D1388" t="str">
            <v>D517180903363X2</v>
          </cell>
          <cell r="E1388" t="str">
            <v>BRACKET-PIERCING I TOOL</v>
          </cell>
          <cell r="F1388">
            <v>61444.2</v>
          </cell>
        </row>
        <row r="1389">
          <cell r="D1389" t="str">
            <v>D517180903363X3</v>
          </cell>
          <cell r="E1389" t="str">
            <v>BRACKET- FORMING TOOL</v>
          </cell>
          <cell r="F1389">
            <v>168376.08</v>
          </cell>
        </row>
        <row r="1390">
          <cell r="D1390" t="str">
            <v>D517180903363X4</v>
          </cell>
          <cell r="E1390" t="str">
            <v>BRACKET-RESTRICK TOOL</v>
          </cell>
          <cell r="F1390">
            <v>168376.08</v>
          </cell>
        </row>
        <row r="1391">
          <cell r="D1391" t="str">
            <v>D517180903363X5</v>
          </cell>
          <cell r="E1391" t="str">
            <v>BRACKET-PIERCING II TOOL</v>
          </cell>
          <cell r="F1391">
            <v>70204.800000000003</v>
          </cell>
        </row>
        <row r="1392">
          <cell r="D1392" t="str">
            <v>Q517180900138X1</v>
          </cell>
          <cell r="E1392" t="str">
            <v>BRACKET ASSY-INSPECTION FIXTURE</v>
          </cell>
          <cell r="F1392">
            <v>22120</v>
          </cell>
        </row>
        <row r="1393">
          <cell r="D1393" t="str">
            <v>Q517180903362X1</v>
          </cell>
          <cell r="E1393" t="str">
            <v>BRACKET-PANEL CHECKER</v>
          </cell>
          <cell r="F1393">
            <v>13260.77</v>
          </cell>
        </row>
        <row r="1394">
          <cell r="D1394" t="str">
            <v>Q517180903363X1</v>
          </cell>
          <cell r="E1394" t="str">
            <v>BRACKET-PANEL CHECKER</v>
          </cell>
          <cell r="F1394">
            <v>23064.01</v>
          </cell>
        </row>
        <row r="1395">
          <cell r="D1395" t="str">
            <v>D517143703319X1</v>
          </cell>
          <cell r="E1395" t="str">
            <v>AIR DRYER ASSY WITH MTG BKT-BLANK TOOL</v>
          </cell>
          <cell r="F1395">
            <v>128608.8</v>
          </cell>
        </row>
        <row r="1396">
          <cell r="D1396" t="str">
            <v>D517143703319X2</v>
          </cell>
          <cell r="E1396" t="str">
            <v>AIR DRYER ASSY WITH MTG BKT-PIERC TOOL</v>
          </cell>
          <cell r="F1396">
            <v>90463.69</v>
          </cell>
        </row>
        <row r="1397">
          <cell r="D1397" t="str">
            <v>D517143703319X3</v>
          </cell>
          <cell r="E1397" t="str">
            <v>AIR DRYER ASSY WITH MTG BKT- FORM TOOL</v>
          </cell>
          <cell r="F1397">
            <v>174864.77</v>
          </cell>
        </row>
        <row r="1398">
          <cell r="D1398" t="str">
            <v>D517143703319X4</v>
          </cell>
          <cell r="E1398" t="str">
            <v>AIR DRYER ASSY WITH MTG BKT-RESTRIKE TOL</v>
          </cell>
          <cell r="F1398">
            <v>156496.71</v>
          </cell>
        </row>
        <row r="1399">
          <cell r="D1399" t="str">
            <v>D517143703319X5</v>
          </cell>
          <cell r="E1399" t="str">
            <v>AIR DRYR ASY WTH MTG BKT-HRN PIERC TOL</v>
          </cell>
          <cell r="F1399">
            <v>145195.54</v>
          </cell>
        </row>
        <row r="1400">
          <cell r="D1400" t="str">
            <v>Q517143703319X1</v>
          </cell>
          <cell r="E1400" t="str">
            <v>AIR DRYER ASSY WITH MTG BKT-PANEL CHECKR</v>
          </cell>
          <cell r="F1400">
            <v>26331.72</v>
          </cell>
        </row>
        <row r="1401">
          <cell r="D1401" t="str">
            <v>D517180903370X1</v>
          </cell>
          <cell r="E1401" t="str">
            <v>BRACKET-BLANKING TOOL</v>
          </cell>
          <cell r="F1401">
            <v>558881.11</v>
          </cell>
        </row>
        <row r="1402">
          <cell r="D1402" t="str">
            <v>D517180903370X2</v>
          </cell>
          <cell r="E1402" t="str">
            <v>BRACKET-1ST- PIERCING TOOL</v>
          </cell>
          <cell r="F1402">
            <v>250509.63</v>
          </cell>
        </row>
        <row r="1403">
          <cell r="D1403" t="str">
            <v>D517180903370X3</v>
          </cell>
          <cell r="E1403" t="str">
            <v>BRACKET-2ND-PIERCING TOOL</v>
          </cell>
          <cell r="F1403">
            <v>250509.63</v>
          </cell>
        </row>
        <row r="1404">
          <cell r="D1404" t="str">
            <v>D517180903370X4</v>
          </cell>
          <cell r="E1404" t="str">
            <v>BRACKET-3RD-PIERCING TOOL</v>
          </cell>
          <cell r="F1404">
            <v>250509.63</v>
          </cell>
        </row>
        <row r="1405">
          <cell r="D1405" t="str">
            <v>D517180903370X5</v>
          </cell>
          <cell r="E1405" t="str">
            <v>BRACKET-1ST FORMING TOOL</v>
          </cell>
          <cell r="F1405">
            <v>506406.1</v>
          </cell>
        </row>
        <row r="1406">
          <cell r="D1406" t="str">
            <v>D517180903370X6</v>
          </cell>
          <cell r="E1406" t="str">
            <v>BRACKET- RISTRIKE TOOL</v>
          </cell>
          <cell r="F1406">
            <v>506406.1</v>
          </cell>
        </row>
        <row r="1407">
          <cell r="D1407" t="str">
            <v>Q517180903370X1</v>
          </cell>
          <cell r="E1407" t="str">
            <v>BRACKET-PANEL CHECKER</v>
          </cell>
          <cell r="F1407">
            <v>76062.92</v>
          </cell>
        </row>
        <row r="1408">
          <cell r="D1408" t="str">
            <v>D517183750113X1</v>
          </cell>
          <cell r="E1408" t="str">
            <v>BKT ASSY,COMPRESSOR MTG-BLANKING TOOL</v>
          </cell>
          <cell r="F1408">
            <v>190979.41</v>
          </cell>
        </row>
        <row r="1409">
          <cell r="D1409" t="str">
            <v>D517183750113X2</v>
          </cell>
          <cell r="E1409" t="str">
            <v>BKT ASSY,COMPRESSOR MTG-1ST FORMING TOOL</v>
          </cell>
          <cell r="F1409">
            <v>222989.66</v>
          </cell>
        </row>
        <row r="1410">
          <cell r="D1410" t="str">
            <v>D517183750113X3</v>
          </cell>
          <cell r="E1410" t="str">
            <v>BKT ASSY,COMPRESSOR MTG-2ND FORMING TOOL</v>
          </cell>
          <cell r="F1410">
            <v>275921.21000000002</v>
          </cell>
        </row>
        <row r="1411">
          <cell r="D1411" t="str">
            <v>D517183750113X4</v>
          </cell>
          <cell r="E1411" t="str">
            <v>BKT ASSY,COMPRESSOR MTG-PIERCING-1 TOOL</v>
          </cell>
          <cell r="F1411">
            <v>147955.13</v>
          </cell>
        </row>
        <row r="1412">
          <cell r="D1412" t="str">
            <v>D517183750113X5</v>
          </cell>
          <cell r="E1412" t="str">
            <v>BKT ASSY,COMPRESSOR MTG-3RD FORMING TOOL</v>
          </cell>
          <cell r="F1412">
            <v>208914.3</v>
          </cell>
        </row>
        <row r="1413">
          <cell r="D1413" t="str">
            <v>D517183750113X6</v>
          </cell>
          <cell r="E1413" t="str">
            <v>BKT ASSY,COMPRESSOR MTG-RESTRIKE TOOL</v>
          </cell>
          <cell r="F1413">
            <v>148685.18</v>
          </cell>
        </row>
        <row r="1414">
          <cell r="D1414" t="str">
            <v>D517183750113X7</v>
          </cell>
          <cell r="E1414" t="str">
            <v>BKT ASSY,COMPRESSOR MTG-PIERCING-2 TOOL</v>
          </cell>
          <cell r="F1414">
            <v>151021.34</v>
          </cell>
        </row>
        <row r="1415">
          <cell r="D1415" t="str">
            <v>Q517183750113X1</v>
          </cell>
          <cell r="E1415" t="str">
            <v>BKT ASSY,COMPRESSOR MTG-PANEL CHECKER</v>
          </cell>
          <cell r="F1415">
            <v>33550.449999999997</v>
          </cell>
        </row>
        <row r="1416">
          <cell r="D1416" t="str">
            <v>A517131540121X1</v>
          </cell>
          <cell r="E1416" t="str">
            <v>BRACKET ASSY,COMPRESSOR MTG-WELDING FXT</v>
          </cell>
          <cell r="F1416">
            <v>43104</v>
          </cell>
        </row>
        <row r="1417">
          <cell r="D1417" t="str">
            <v>A517131540122X1</v>
          </cell>
          <cell r="E1417" t="str">
            <v>ASSY WELDING FXT-BACK PLATE (ASSY WITH W</v>
          </cell>
          <cell r="F1417">
            <v>29078</v>
          </cell>
        </row>
        <row r="1418">
          <cell r="D1418" t="str">
            <v>D517131548232X1</v>
          </cell>
          <cell r="E1418" t="str">
            <v>BACK PLATE- BLANKING TOOL</v>
          </cell>
          <cell r="F1418">
            <v>87726</v>
          </cell>
        </row>
        <row r="1419">
          <cell r="D1419" t="str">
            <v>D517131548232X2</v>
          </cell>
          <cell r="E1419" t="str">
            <v>BACK PLATE-PIERCING TOOL</v>
          </cell>
          <cell r="F1419">
            <v>65824.5</v>
          </cell>
        </row>
        <row r="1420">
          <cell r="D1420" t="str">
            <v>D517131548233X1</v>
          </cell>
          <cell r="E1420" t="str">
            <v>BEND PLATE- BLANKING TOOL</v>
          </cell>
          <cell r="F1420">
            <v>77687.81</v>
          </cell>
        </row>
        <row r="1421">
          <cell r="D1421" t="str">
            <v>D517131548233X2</v>
          </cell>
          <cell r="E1421" t="str">
            <v>BEND PLATE-PIERCING TOOL</v>
          </cell>
          <cell r="F1421">
            <v>50256.18</v>
          </cell>
        </row>
        <row r="1422">
          <cell r="D1422" t="str">
            <v>D517131548233X3</v>
          </cell>
          <cell r="E1422" t="str">
            <v>BEND PLATE- FORMING TOOL</v>
          </cell>
          <cell r="F1422">
            <v>97070.64</v>
          </cell>
        </row>
        <row r="1423">
          <cell r="D1423" t="str">
            <v>D517131548233Y2</v>
          </cell>
          <cell r="E1423" t="str">
            <v>COVER PLATE-BLANKING</v>
          </cell>
          <cell r="F1423">
            <v>92471.33</v>
          </cell>
        </row>
        <row r="1424">
          <cell r="D1424" t="str">
            <v>D517131548234X1</v>
          </cell>
          <cell r="E1424" t="str">
            <v>SPACER PLATE- BLANKING TOOL</v>
          </cell>
          <cell r="F1424">
            <v>62904.3</v>
          </cell>
        </row>
        <row r="1425">
          <cell r="D1425" t="str">
            <v>D517131548268X1</v>
          </cell>
          <cell r="E1425" t="str">
            <v>COVER PLATE-PIERCING</v>
          </cell>
          <cell r="F1425">
            <v>61444.2</v>
          </cell>
        </row>
        <row r="1426">
          <cell r="D1426" t="str">
            <v>D517131548268X2</v>
          </cell>
          <cell r="E1426" t="str">
            <v>COVER PLATE-FORM 1</v>
          </cell>
          <cell r="F1426">
            <v>100107.65</v>
          </cell>
        </row>
        <row r="1427">
          <cell r="D1427" t="str">
            <v>D517131548268X3</v>
          </cell>
          <cell r="E1427" t="str">
            <v>COVER PLATE-FORM 2</v>
          </cell>
          <cell r="F1427">
            <v>103378.27</v>
          </cell>
        </row>
        <row r="1428">
          <cell r="D1428" t="str">
            <v>D517131548269X1</v>
          </cell>
          <cell r="E1428" t="str">
            <v>MOUNTING PLATE-BLANKING</v>
          </cell>
          <cell r="F1428">
            <v>104517.15</v>
          </cell>
        </row>
        <row r="1429">
          <cell r="D1429" t="str">
            <v>D517131548269X2</v>
          </cell>
          <cell r="E1429" t="str">
            <v>MOUNTING PLATE-PIERCING</v>
          </cell>
          <cell r="F1429">
            <v>69109.73</v>
          </cell>
        </row>
        <row r="1430">
          <cell r="D1430" t="str">
            <v>D517131548269X3</v>
          </cell>
          <cell r="E1430" t="str">
            <v>MOUNTING PLATE-FORM 1 LH-RH</v>
          </cell>
          <cell r="F1430">
            <v>181779.8</v>
          </cell>
        </row>
        <row r="1431">
          <cell r="D1431" t="str">
            <v>D517131548269X4</v>
          </cell>
          <cell r="E1431" t="str">
            <v>MOUNTING PLATE-FORM 2 LH-RH</v>
          </cell>
          <cell r="F1431">
            <v>198810.41</v>
          </cell>
        </row>
        <row r="1432">
          <cell r="D1432" t="str">
            <v>Q517131540121X1</v>
          </cell>
          <cell r="E1432" t="str">
            <v>BRKT ASSY,COMPRESSOR MTG-INSPECTION FXT</v>
          </cell>
          <cell r="F1432">
            <v>32304</v>
          </cell>
        </row>
        <row r="1433">
          <cell r="D1433" t="str">
            <v>Q517131548232X1</v>
          </cell>
          <cell r="E1433" t="str">
            <v>BACK PLATE-PANEL CHECKER</v>
          </cell>
          <cell r="F1433">
            <v>13260.9</v>
          </cell>
        </row>
        <row r="1434">
          <cell r="D1434" t="str">
            <v>Q517131548233X1</v>
          </cell>
          <cell r="E1434" t="str">
            <v>BEND PLATE-PANEL CHECKER</v>
          </cell>
          <cell r="F1434">
            <v>14662.6</v>
          </cell>
        </row>
        <row r="1435">
          <cell r="D1435" t="str">
            <v>Q517131548234X1</v>
          </cell>
          <cell r="E1435" t="str">
            <v>SPACER PLATE-PANEL CHECKER</v>
          </cell>
          <cell r="F1435">
            <v>9537.65</v>
          </cell>
        </row>
        <row r="1436">
          <cell r="D1436" t="str">
            <v>Q517131548268X1</v>
          </cell>
          <cell r="E1436" t="str">
            <v>COVER PLATE-PANEL CHEKCER</v>
          </cell>
          <cell r="F1436">
            <v>15118.15</v>
          </cell>
        </row>
        <row r="1437">
          <cell r="D1437" t="str">
            <v>Q517131548269X1</v>
          </cell>
          <cell r="E1437" t="str">
            <v>MOUNTING PLATE-PANEL CHEKCER LH</v>
          </cell>
          <cell r="F1437">
            <v>27368.97</v>
          </cell>
        </row>
        <row r="1438">
          <cell r="D1438" t="str">
            <v>Q517131548270X1</v>
          </cell>
          <cell r="E1438" t="str">
            <v>MOUNTING PLATE-PANEL CHEKCER RH</v>
          </cell>
          <cell r="F1438">
            <v>29923.56</v>
          </cell>
        </row>
        <row r="1439">
          <cell r="D1439" t="str">
            <v>A585888200243X1</v>
          </cell>
          <cell r="E1439" t="str">
            <v>PIPE ASSY REAR FENDER MTG LH-WELDING FXT</v>
          </cell>
          <cell r="F1439">
            <v>85730.31</v>
          </cell>
        </row>
        <row r="1440">
          <cell r="D1440" t="str">
            <v>A585888200243X2</v>
          </cell>
          <cell r="E1440" t="str">
            <v>PIPE ASSY REAR FENDER MTG LH-WELDING FXT</v>
          </cell>
          <cell r="F1440">
            <v>162451.84</v>
          </cell>
        </row>
        <row r="1441">
          <cell r="D1441" t="str">
            <v>A585888200244X1</v>
          </cell>
          <cell r="E1441" t="str">
            <v>PIPE ASSY REAR FENDER MTG RH-WELDING FXT</v>
          </cell>
          <cell r="F1441">
            <v>162451.84</v>
          </cell>
        </row>
        <row r="1442">
          <cell r="D1442" t="str">
            <v>A585888206973X1</v>
          </cell>
          <cell r="E1442" t="str">
            <v>PIPE REAR FNDR MTG LWR-CNC BENDING PULY</v>
          </cell>
          <cell r="F1442">
            <v>50120</v>
          </cell>
        </row>
        <row r="1443">
          <cell r="D1443" t="str">
            <v>D585888213332X1</v>
          </cell>
          <cell r="E1443" t="str">
            <v>PLATE FENDER MTG-BLANKING TOOL</v>
          </cell>
          <cell r="F1443">
            <v>84075.75</v>
          </cell>
        </row>
        <row r="1444">
          <cell r="D1444" t="str">
            <v>D585888213332X2</v>
          </cell>
          <cell r="E1444" t="str">
            <v>PLATE FENDER MTG-PIERCING TOOL</v>
          </cell>
          <cell r="F1444">
            <v>47390.74</v>
          </cell>
        </row>
        <row r="1445">
          <cell r="D1445" t="str">
            <v>Q585888200243X1</v>
          </cell>
          <cell r="E1445" t="str">
            <v>PIPE ASY REAR FNDR MTG LH-INSPECTION FXT</v>
          </cell>
          <cell r="F1445">
            <v>100940.57</v>
          </cell>
        </row>
        <row r="1446">
          <cell r="D1446" t="str">
            <v>Q585888200244X1</v>
          </cell>
          <cell r="E1446" t="str">
            <v>PIPE ASY REAR FNDR MTG RH-INSPECTION FXT</v>
          </cell>
          <cell r="F1446">
            <v>100940.57</v>
          </cell>
        </row>
        <row r="1447">
          <cell r="D1447" t="str">
            <v>Q585888206973X1</v>
          </cell>
          <cell r="E1447" t="str">
            <v>PIPE REAR FENDER MTG LOWER-PANEL CHECKER</v>
          </cell>
          <cell r="F1447">
            <v>36120</v>
          </cell>
        </row>
        <row r="1448">
          <cell r="D1448" t="str">
            <v>Q585888206974X1</v>
          </cell>
          <cell r="E1448" t="str">
            <v>PIPE REAR FENDER MTG LOWE-PANEL CHECKER</v>
          </cell>
          <cell r="F1448">
            <v>33120</v>
          </cell>
        </row>
        <row r="1449">
          <cell r="D1449" t="str">
            <v>Q585888213332X1</v>
          </cell>
          <cell r="E1449" t="str">
            <v>PLATE FENDER MTG-PANEL CHECKER</v>
          </cell>
          <cell r="F1449">
            <v>12713.36</v>
          </cell>
        </row>
        <row r="1450">
          <cell r="D1450" t="str">
            <v>A585888200245X1</v>
          </cell>
          <cell r="E1450" t="str">
            <v>PIPE ASSY REAR FENDER MTG LH-WELDING FXT</v>
          </cell>
          <cell r="F1450">
            <v>85730.31</v>
          </cell>
        </row>
        <row r="1451">
          <cell r="D1451" t="str">
            <v>A585888200245X2</v>
          </cell>
          <cell r="E1451" t="str">
            <v>PIPE ASSY REAR FENDER MTG LH-WELDING FXT</v>
          </cell>
          <cell r="F1451">
            <v>162451.84</v>
          </cell>
        </row>
        <row r="1452">
          <cell r="D1452" t="str">
            <v>A585888200246X1</v>
          </cell>
          <cell r="E1452" t="str">
            <v>PIPE ASSY REAR FENDER MTG LH-WELDING FXT</v>
          </cell>
          <cell r="F1452">
            <v>162451.84</v>
          </cell>
        </row>
        <row r="1453">
          <cell r="D1453" t="str">
            <v>A585888206975X1</v>
          </cell>
          <cell r="E1453" t="str">
            <v>PIPE REAR FNDR LWR-CNC BENDING PULY SET</v>
          </cell>
          <cell r="F1453">
            <v>50120</v>
          </cell>
        </row>
        <row r="1454">
          <cell r="D1454" t="str">
            <v>D585888213333X1</v>
          </cell>
          <cell r="E1454" t="str">
            <v>PLATE FENDER MTG-BLANKING TOOL</v>
          </cell>
          <cell r="F1454">
            <v>96851.63</v>
          </cell>
        </row>
        <row r="1455">
          <cell r="D1455" t="str">
            <v>D585888213333X2</v>
          </cell>
          <cell r="E1455" t="str">
            <v>PLATE FENDER MTG-PIERCING TOOL</v>
          </cell>
          <cell r="F1455">
            <v>59956.72</v>
          </cell>
        </row>
        <row r="1456">
          <cell r="D1456" t="str">
            <v>Q585888200245X1</v>
          </cell>
          <cell r="E1456" t="str">
            <v>PIPE ASY REAR FNDR MTG LH-INSPECTION FXT</v>
          </cell>
          <cell r="F1456">
            <v>100940.57</v>
          </cell>
        </row>
        <row r="1457">
          <cell r="D1457" t="str">
            <v>Q585888200246X1</v>
          </cell>
          <cell r="E1457" t="str">
            <v>PIPE ASY REAR FNDR MTG LH-INSPECTION FXT</v>
          </cell>
          <cell r="F1457">
            <v>100940.57</v>
          </cell>
        </row>
        <row r="1458">
          <cell r="D1458" t="str">
            <v>Q585888206975X1</v>
          </cell>
          <cell r="E1458" t="str">
            <v>PIPE REAR FENDER MTG LOWER-PANEL CHECKER</v>
          </cell>
          <cell r="F1458">
            <v>33120</v>
          </cell>
        </row>
        <row r="1459">
          <cell r="D1459" t="str">
            <v>Q585888206976X1</v>
          </cell>
          <cell r="E1459" t="str">
            <v>PIPE REAR FENDER MTG LOWER-PANEL CHECKER</v>
          </cell>
          <cell r="F1459">
            <v>33120</v>
          </cell>
        </row>
        <row r="1460">
          <cell r="D1460" t="str">
            <v>Q585888213333X1</v>
          </cell>
          <cell r="E1460" t="str">
            <v>PLATE FENDER MTG-PANEL CHECKER</v>
          </cell>
          <cell r="F1460">
            <v>14629.74</v>
          </cell>
        </row>
        <row r="1461">
          <cell r="D1461" t="str">
            <v>D517180903353X1</v>
          </cell>
          <cell r="E1461" t="str">
            <v>BRACKET-1ST NOTCHING &amp; PIERCING TOOL</v>
          </cell>
          <cell r="F1461">
            <v>346893.75</v>
          </cell>
        </row>
        <row r="1462">
          <cell r="D1462" t="str">
            <v>D517180903353X2</v>
          </cell>
          <cell r="E1462" t="str">
            <v>BRACKET-2ND NOTCHING &amp; PIERCING TOOL</v>
          </cell>
          <cell r="F1462">
            <v>346893.75</v>
          </cell>
        </row>
        <row r="1463">
          <cell r="D1463" t="str">
            <v>D517180903353X3</v>
          </cell>
          <cell r="E1463" t="str">
            <v>BRACKET- FORMING TOOL</v>
          </cell>
          <cell r="F1463">
            <v>880560.3</v>
          </cell>
        </row>
        <row r="1464">
          <cell r="D1464" t="str">
            <v>Q517180903353X1</v>
          </cell>
          <cell r="E1464" t="str">
            <v>BRACKET-PANEL CHECKER</v>
          </cell>
          <cell r="F1464">
            <v>132186.04999999999</v>
          </cell>
        </row>
        <row r="1465">
          <cell r="D1465" t="str">
            <v>D517154803301X1</v>
          </cell>
          <cell r="E1465" t="str">
            <v>BRACKET- BLANKING TOOL</v>
          </cell>
          <cell r="F1465">
            <v>118570.61</v>
          </cell>
        </row>
        <row r="1466">
          <cell r="D1466" t="str">
            <v>D517154803301X2</v>
          </cell>
          <cell r="E1466" t="str">
            <v>BRACKET-FORMING TOOL</v>
          </cell>
          <cell r="F1466">
            <v>161212.82999999999</v>
          </cell>
        </row>
        <row r="1467">
          <cell r="D1467" t="str">
            <v>D517154803301X3</v>
          </cell>
          <cell r="E1467" t="str">
            <v>BRACKET-2STG PIERCING TOOL</v>
          </cell>
          <cell r="F1467">
            <v>178836.24</v>
          </cell>
        </row>
        <row r="1468">
          <cell r="D1468" t="str">
            <v>Q517154803301X1</v>
          </cell>
          <cell r="E1468" t="str">
            <v>BRACKET-PANEL CHECKER</v>
          </cell>
          <cell r="F1468">
            <v>24283.919999999998</v>
          </cell>
        </row>
        <row r="1469">
          <cell r="D1469" t="str">
            <v>A517180110229X1</v>
          </cell>
          <cell r="E1469" t="str">
            <v>BRKT,CABLE SUPRT-WLDG FX WITOUT SEM BASE</v>
          </cell>
          <cell r="F1469">
            <v>261448</v>
          </cell>
        </row>
        <row r="1470">
          <cell r="D1470" t="str">
            <v>A517180110229X2</v>
          </cell>
          <cell r="E1470" t="str">
            <v>BRKT,CBL SUPRT-WLDGFX WTOT SEM BAS OP_20</v>
          </cell>
          <cell r="F1470">
            <v>447412</v>
          </cell>
        </row>
        <row r="1471">
          <cell r="D1471" t="str">
            <v>D280746803301Y1</v>
          </cell>
          <cell r="E1471" t="str">
            <v>BRACKET (FOR STEERING PIPING)-BLNKG TOOL</v>
          </cell>
          <cell r="F1471">
            <v>73581</v>
          </cell>
        </row>
        <row r="1472">
          <cell r="D1472" t="str">
            <v>D280746803301Y2</v>
          </cell>
          <cell r="E1472" t="str">
            <v>BRACKT (FOR STEERING PIPING)-PIERCG TOOL</v>
          </cell>
          <cell r="F1472">
            <v>53505</v>
          </cell>
        </row>
        <row r="1473">
          <cell r="D1473" t="str">
            <v>D280746803301Y3</v>
          </cell>
          <cell r="E1473" t="str">
            <v>BRACKET (FOR STEERING PIPING)-FORMG TOOL</v>
          </cell>
          <cell r="F1473">
            <v>76045</v>
          </cell>
        </row>
        <row r="1474">
          <cell r="D1474" t="str">
            <v>Q280746803301Y1</v>
          </cell>
          <cell r="E1474" t="str">
            <v>BRACKET (FOR STEERING PIPING)-PANEL CHKR</v>
          </cell>
          <cell r="F1474">
            <v>11509</v>
          </cell>
        </row>
        <row r="1475">
          <cell r="D1475" t="str">
            <v>Q517180110229X1</v>
          </cell>
          <cell r="E1475" t="str">
            <v>BRACKET,CABLE SUPPORT-FINAL ASSY INSP FX</v>
          </cell>
          <cell r="F1475">
            <v>155081</v>
          </cell>
        </row>
        <row r="1476">
          <cell r="D1476" t="str">
            <v>A517180110223X1</v>
          </cell>
          <cell r="E1476" t="str">
            <v>BRKT,HV CABL SUPRT-2 STAG DRLG FX</v>
          </cell>
          <cell r="F1476">
            <v>41700</v>
          </cell>
        </row>
        <row r="1477">
          <cell r="D1477" t="str">
            <v>A517180110224X1</v>
          </cell>
          <cell r="E1477" t="str">
            <v>L-BRKT,CBL SUPRT-DRILG FX(1 HOLES 6.5)</v>
          </cell>
          <cell r="F1477">
            <v>12120</v>
          </cell>
        </row>
        <row r="1478">
          <cell r="D1478" t="str">
            <v>A517180110225X1</v>
          </cell>
          <cell r="E1478" t="str">
            <v>BRKT,CBL SUPRT-2STAG DRLG FX(2 HOLES DIA</v>
          </cell>
          <cell r="F1478">
            <v>32040</v>
          </cell>
        </row>
        <row r="1479">
          <cell r="D1479" t="str">
            <v>A517180110228X1</v>
          </cell>
          <cell r="E1479" t="str">
            <v>BRKT,CBL SUPRT-WLDG FX WITHOT SEM BAS</v>
          </cell>
          <cell r="F1479">
            <v>261448</v>
          </cell>
        </row>
        <row r="1480">
          <cell r="D1480" t="str">
            <v>A517180110228X2</v>
          </cell>
          <cell r="E1480" t="str">
            <v>BRKT,CBL SUPRT-WLDGFX WTHOTSEM BASEOP_20</v>
          </cell>
          <cell r="F1480">
            <v>447412</v>
          </cell>
        </row>
        <row r="1481">
          <cell r="D1481" t="str">
            <v>D517180110218X1</v>
          </cell>
          <cell r="E1481" t="str">
            <v>L-BRACKET,CABLE SUPPORT-BLANKING TOOL</v>
          </cell>
          <cell r="F1481">
            <v>94734</v>
          </cell>
        </row>
        <row r="1482">
          <cell r="D1482" t="str">
            <v>D517180110218X2</v>
          </cell>
          <cell r="E1482" t="str">
            <v>L-BRACKET,CABLE SUPPORT-PIERCING TOOL</v>
          </cell>
          <cell r="F1482">
            <v>65825</v>
          </cell>
        </row>
        <row r="1483">
          <cell r="D1483" t="str">
            <v>D517180110218X3</v>
          </cell>
          <cell r="E1483" t="str">
            <v>L-BRACKET,CABLE SUPPORT-FORMING TOOL</v>
          </cell>
          <cell r="F1483">
            <v>113657</v>
          </cell>
        </row>
        <row r="1484">
          <cell r="D1484" t="str">
            <v>D517180110218X4</v>
          </cell>
          <cell r="E1484" t="str">
            <v>L-BRACKET,CABLE SUPPORT-NOTCHING TOOL</v>
          </cell>
          <cell r="F1484">
            <v>71081</v>
          </cell>
        </row>
        <row r="1485">
          <cell r="D1485" t="str">
            <v>D517180110221X1</v>
          </cell>
          <cell r="E1485" t="str">
            <v>L-BRACKET,CABLE SUPPORT-BLANKING TOOL</v>
          </cell>
          <cell r="F1485">
            <v>91157</v>
          </cell>
        </row>
        <row r="1486">
          <cell r="D1486" t="str">
            <v>D517180110221X2</v>
          </cell>
          <cell r="E1486" t="str">
            <v>L-BRACKET,CABLE SUPPORT-PIERCING TOOL</v>
          </cell>
          <cell r="F1486">
            <v>66701</v>
          </cell>
        </row>
        <row r="1487">
          <cell r="D1487" t="str">
            <v>D517180110221X3</v>
          </cell>
          <cell r="E1487" t="str">
            <v>L-BRACKET,CABLE SUPPORT-FORMING TOOL</v>
          </cell>
          <cell r="F1487">
            <v>81886</v>
          </cell>
        </row>
        <row r="1488">
          <cell r="D1488" t="str">
            <v>D517180110222X1</v>
          </cell>
          <cell r="E1488" t="str">
            <v>L-BRACKET,CABLE SUPPORT-BLANKING TOOL</v>
          </cell>
          <cell r="F1488">
            <v>63196</v>
          </cell>
        </row>
        <row r="1489">
          <cell r="D1489" t="str">
            <v>D517180110222X2</v>
          </cell>
          <cell r="E1489" t="str">
            <v>L-BRACKET,CABLE SUPPORT-PIERCING TOOL</v>
          </cell>
          <cell r="F1489">
            <v>43923</v>
          </cell>
        </row>
        <row r="1490">
          <cell r="D1490" t="str">
            <v>D517180110222X3</v>
          </cell>
          <cell r="E1490" t="str">
            <v>L-BRACKET,CABLE SUPPORT-FORMING TOOL</v>
          </cell>
          <cell r="F1490">
            <v>80858</v>
          </cell>
        </row>
        <row r="1491">
          <cell r="D1491" t="str">
            <v>D517180110227X1</v>
          </cell>
          <cell r="E1491" t="str">
            <v>BRACKET,CABLE SUPPORT-BLANKING TOOL</v>
          </cell>
          <cell r="F1491">
            <v>62539</v>
          </cell>
        </row>
        <row r="1492">
          <cell r="D1492" t="str">
            <v>D517180110227X2</v>
          </cell>
          <cell r="E1492" t="str">
            <v>BRACKET,CABLE SUPPORT-PIERCING TOOL</v>
          </cell>
          <cell r="F1492">
            <v>44836</v>
          </cell>
        </row>
        <row r="1493">
          <cell r="D1493" t="str">
            <v>D517180110227X3</v>
          </cell>
          <cell r="E1493" t="str">
            <v>BRACKET,CABLE SUPPORT-FORMING TOOL</v>
          </cell>
          <cell r="F1493">
            <v>67401</v>
          </cell>
        </row>
        <row r="1494">
          <cell r="D1494" t="str">
            <v>Q517180110218X1</v>
          </cell>
          <cell r="E1494" t="str">
            <v>L-BRACKET,CABLE SUPPORT-PANEL CHECKER</v>
          </cell>
          <cell r="F1494">
            <v>17151</v>
          </cell>
        </row>
        <row r="1495">
          <cell r="D1495" t="str">
            <v>Q517180110221X1</v>
          </cell>
          <cell r="E1495" t="str">
            <v>L-BRACKET,CABLE SUPPORT-PANEL CHECKER</v>
          </cell>
          <cell r="F1495">
            <v>12385</v>
          </cell>
        </row>
        <row r="1496">
          <cell r="D1496" t="str">
            <v>Q517180110222X1</v>
          </cell>
          <cell r="E1496" t="str">
            <v>L-BRACKET,CABLE SUPPORT-PANEL CHECKER</v>
          </cell>
          <cell r="F1496">
            <v>12231</v>
          </cell>
        </row>
        <row r="1497">
          <cell r="D1497" t="str">
            <v>Q517180110223X1</v>
          </cell>
          <cell r="E1497" t="str">
            <v>BRACKET,HV CABLE SUPPORT-PANEL CHECKER</v>
          </cell>
          <cell r="F1497">
            <v>13620</v>
          </cell>
        </row>
        <row r="1498">
          <cell r="D1498" t="str">
            <v>Q517180110224X1</v>
          </cell>
          <cell r="E1498" t="str">
            <v>L-BRACKET,CABLE SUPPORT-PANEL CHECKER</v>
          </cell>
          <cell r="F1498">
            <v>12120</v>
          </cell>
        </row>
        <row r="1499">
          <cell r="D1499" t="str">
            <v>Q517180110225X1</v>
          </cell>
          <cell r="E1499" t="str">
            <v>BRACKET,CABLE SUPPORT-PANEL CHECKER</v>
          </cell>
          <cell r="F1499">
            <v>12620</v>
          </cell>
        </row>
        <row r="1500">
          <cell r="D1500" t="str">
            <v>Q517180110227X1</v>
          </cell>
          <cell r="E1500" t="str">
            <v>BRACKET,CABLE SUPPORT-PANEL CHECKER</v>
          </cell>
          <cell r="F1500">
            <v>10212</v>
          </cell>
        </row>
        <row r="1501">
          <cell r="D1501" t="str">
            <v>Q517180110228X1</v>
          </cell>
          <cell r="E1501" t="str">
            <v>BRKT,CBL SUPRT-FINAL ASSY INSP FIXTURE</v>
          </cell>
          <cell r="F1501">
            <v>155081</v>
          </cell>
        </row>
        <row r="1502">
          <cell r="D1502" t="str">
            <v>A517170100163X1</v>
          </cell>
          <cell r="E1502" t="str">
            <v>SUPD ASSY-SPACER WELDING FIXTURE</v>
          </cell>
          <cell r="F1502">
            <v>269118.5</v>
          </cell>
        </row>
        <row r="1503">
          <cell r="D1503" t="str">
            <v>A517170100167X1</v>
          </cell>
          <cell r="E1503" t="str">
            <v>LEG ASLY SUPD-PNUMTC CLAMP PLUG WLDG FIX</v>
          </cell>
          <cell r="F1503">
            <v>113806.38</v>
          </cell>
        </row>
        <row r="1504">
          <cell r="D1504" t="str">
            <v>A517170100167X2</v>
          </cell>
          <cell r="E1504" t="str">
            <v>LEG ASLY SUPD-PNUMTC CLAMP SPOT WLDG FIX</v>
          </cell>
          <cell r="F1504">
            <v>109681.7</v>
          </cell>
        </row>
        <row r="1505">
          <cell r="D1505" t="str">
            <v>D517170108277X1</v>
          </cell>
          <cell r="E1505" t="str">
            <v>SUPD LEG TOP-BLANKING</v>
          </cell>
          <cell r="F1505">
            <v>114007.8</v>
          </cell>
        </row>
        <row r="1506">
          <cell r="D1506" t="str">
            <v>D517170108277X2</v>
          </cell>
          <cell r="E1506" t="str">
            <v>SUPD LEG TOP-PIERCING</v>
          </cell>
          <cell r="F1506">
            <v>76410.23</v>
          </cell>
        </row>
        <row r="1507">
          <cell r="D1507" t="str">
            <v>D517170108277X3</v>
          </cell>
          <cell r="E1507" t="str">
            <v>SUPD LEG TOP-FORMING</v>
          </cell>
          <cell r="F1507">
            <v>185693.3</v>
          </cell>
        </row>
        <row r="1508">
          <cell r="D1508" t="str">
            <v>Q517170100163X1</v>
          </cell>
          <cell r="E1508" t="str">
            <v>SUPD ASSY- ASSY INSPECTION FIXTURE</v>
          </cell>
          <cell r="F1508">
            <v>455853</v>
          </cell>
        </row>
        <row r="1509">
          <cell r="D1509" t="str">
            <v>Q517170100167X1</v>
          </cell>
          <cell r="E1509" t="str">
            <v>"LEG ASSLY SUPD-SUB ASSY INSPEC FIX</v>
          </cell>
          <cell r="F1509">
            <v>76917</v>
          </cell>
        </row>
        <row r="1510">
          <cell r="D1510" t="str">
            <v>Q517170108277X1</v>
          </cell>
          <cell r="E1510" t="str">
            <v>SUPD LEG TOP-PANEL CHECKER</v>
          </cell>
          <cell r="F1510">
            <v>22638.25</v>
          </cell>
        </row>
        <row r="1511">
          <cell r="D1511" t="str">
            <v>A517170100180X1</v>
          </cell>
          <cell r="E1511" t="str">
            <v>LEG ASY,SUPD-PNEUMATIC CLMP PLUG WLDG FX</v>
          </cell>
          <cell r="F1511">
            <v>113806</v>
          </cell>
        </row>
        <row r="1512">
          <cell r="D1512" t="str">
            <v>A517170100182X1</v>
          </cell>
          <cell r="E1512" t="str">
            <v>LEG ASY,SUPD-MDULR PNUMTC CLMP SPTWLDGFX</v>
          </cell>
          <cell r="F1512">
            <v>591657</v>
          </cell>
        </row>
        <row r="1513">
          <cell r="D1513" t="str">
            <v>Q517170100180X1</v>
          </cell>
          <cell r="E1513" t="str">
            <v>LEG ASSY,SUPD-SUB ASSY INSPECTION FIXT</v>
          </cell>
          <cell r="F1513">
            <v>76917.11</v>
          </cell>
        </row>
        <row r="1514">
          <cell r="D1514" t="str">
            <v>A517143100104X1</v>
          </cell>
          <cell r="E1514" t="str">
            <v>BRKT ASSY LCRV MTG-ASSY WELDING FIXTURE</v>
          </cell>
          <cell r="F1514">
            <v>33100</v>
          </cell>
        </row>
        <row r="1515">
          <cell r="D1515" t="str">
            <v>D517143803346X1</v>
          </cell>
          <cell r="E1515" t="str">
            <v>BRACKET- BLANKING TOOL</v>
          </cell>
          <cell r="F1515">
            <v>115905.93</v>
          </cell>
        </row>
        <row r="1516">
          <cell r="D1516" t="str">
            <v>D517143803346X2</v>
          </cell>
          <cell r="E1516" t="str">
            <v>BRACKET- PIERCING TOOL</v>
          </cell>
          <cell r="F1516">
            <v>79841.460000000006</v>
          </cell>
        </row>
        <row r="1517">
          <cell r="D1517" t="str">
            <v>D517143803346X3</v>
          </cell>
          <cell r="E1517" t="str">
            <v>BRACKET-FORMING TOOL</v>
          </cell>
          <cell r="F1517">
            <v>143185.85</v>
          </cell>
        </row>
        <row r="1518">
          <cell r="D1518" t="str">
            <v>D517143903302X1</v>
          </cell>
          <cell r="E1518" t="str">
            <v>BRACKET- BLANKING TOOL</v>
          </cell>
          <cell r="F1518">
            <v>71299.88</v>
          </cell>
        </row>
        <row r="1519">
          <cell r="D1519" t="str">
            <v>D517143903302X2</v>
          </cell>
          <cell r="E1519" t="str">
            <v>BRACKET- PIERCING TOOL</v>
          </cell>
          <cell r="F1519">
            <v>43923</v>
          </cell>
        </row>
        <row r="1520">
          <cell r="D1520" t="str">
            <v>D517143903302X3</v>
          </cell>
          <cell r="E1520" t="str">
            <v>BRACKET-FORMING TOOL</v>
          </cell>
          <cell r="F1520">
            <v>89379.56</v>
          </cell>
        </row>
        <row r="1521">
          <cell r="D1521" t="str">
            <v>D550843808219Y1</v>
          </cell>
          <cell r="E1521" t="str">
            <v>RIB- BLANKING TOOL</v>
          </cell>
          <cell r="F1521">
            <v>76045.2</v>
          </cell>
        </row>
        <row r="1522">
          <cell r="D1522" t="str">
            <v>Q517143100104X1</v>
          </cell>
          <cell r="E1522" t="str">
            <v>BRKT ASSY LCRV MTG-ASSY INSPESTION FXT</v>
          </cell>
          <cell r="F1522">
            <v>33100</v>
          </cell>
        </row>
        <row r="1523">
          <cell r="D1523" t="str">
            <v>Q517143803346X1</v>
          </cell>
          <cell r="E1523" t="str">
            <v>BRACKET-PANEL CHECKER</v>
          </cell>
          <cell r="F1523">
            <v>21579.88</v>
          </cell>
        </row>
        <row r="1524">
          <cell r="D1524" t="str">
            <v>Q517143903302X1</v>
          </cell>
          <cell r="E1524" t="str">
            <v>BRACKET-PANEL CHECKER</v>
          </cell>
          <cell r="F1524">
            <v>13508.93</v>
          </cell>
        </row>
        <row r="1525">
          <cell r="D1525" t="str">
            <v>Q550843808219Y1</v>
          </cell>
          <cell r="E1525" t="str">
            <v>RIB-PANEL CHECKER</v>
          </cell>
          <cell r="F1525">
            <v>11508.78</v>
          </cell>
        </row>
        <row r="1526">
          <cell r="D1526" t="str">
            <v>A517170100165X1</v>
          </cell>
          <cell r="E1526" t="str">
            <v>SUPD ASSY-MODULAR PNEUMATIC CLAMP SPOT W</v>
          </cell>
          <cell r="F1526">
            <v>334660</v>
          </cell>
        </row>
        <row r="1527">
          <cell r="D1527" t="str">
            <v>Q517170100165X1</v>
          </cell>
          <cell r="E1527" t="str">
            <v>SUPD ASSY-MODULAR MANUAL CLAMPING INSPE</v>
          </cell>
          <cell r="F1527">
            <v>325851.5</v>
          </cell>
        </row>
        <row r="1528">
          <cell r="D1528" t="str">
            <v>A517180900140X1</v>
          </cell>
          <cell r="E1528" t="str">
            <v>BRACKET ASSY-NUT WELDING FIXTURE</v>
          </cell>
          <cell r="F1528">
            <v>112532.52</v>
          </cell>
        </row>
        <row r="1529">
          <cell r="D1529" t="str">
            <v>D517180903358X1</v>
          </cell>
          <cell r="E1529" t="str">
            <v>BRACKET-1ST NOTCHING &amp; PIERCING TOOL</v>
          </cell>
          <cell r="F1529">
            <v>346893.75</v>
          </cell>
        </row>
        <row r="1530">
          <cell r="D1530" t="str">
            <v>D517180903358Y2</v>
          </cell>
          <cell r="E1530" t="str">
            <v>BRACKET-2ND NOTCHING &amp; PIERCING TOOL</v>
          </cell>
          <cell r="F1530">
            <v>346893.75</v>
          </cell>
        </row>
        <row r="1531">
          <cell r="D1531" t="str">
            <v>Q517180903358X1</v>
          </cell>
          <cell r="E1531" t="str">
            <v>BRACKET-PANEL CHECKER</v>
          </cell>
          <cell r="F1531">
            <v>132186</v>
          </cell>
        </row>
        <row r="1532">
          <cell r="D1532" t="str">
            <v>A585889110211X1</v>
          </cell>
          <cell r="E1532" t="str">
            <v>CROSS TUBE ASSY-CO2 TACK WELDING FIXTURE</v>
          </cell>
          <cell r="F1532">
            <v>35120</v>
          </cell>
        </row>
        <row r="1533">
          <cell r="D1533" t="str">
            <v>D517142703301X1</v>
          </cell>
          <cell r="E1533" t="str">
            <v>BRACKET-BLANKING</v>
          </cell>
          <cell r="F1533">
            <v>123655.62</v>
          </cell>
        </row>
        <row r="1534">
          <cell r="D1534" t="str">
            <v>D517142703301X2</v>
          </cell>
          <cell r="E1534" t="str">
            <v>BRACKET-PIERCING</v>
          </cell>
          <cell r="F1534">
            <v>84548.19</v>
          </cell>
        </row>
        <row r="1535">
          <cell r="D1535" t="str">
            <v>D517142703301X3</v>
          </cell>
          <cell r="E1535" t="str">
            <v>BRACKET-FORMING TOOL (PVD COATING REQD)</v>
          </cell>
          <cell r="F1535">
            <v>148362.74</v>
          </cell>
        </row>
        <row r="1536">
          <cell r="D1536" t="str">
            <v>Q517142703301X1</v>
          </cell>
          <cell r="E1536" t="str">
            <v>BRACKET-PANEL CHECKER</v>
          </cell>
          <cell r="F1536">
            <v>22356.41</v>
          </cell>
        </row>
        <row r="1537">
          <cell r="D1537" t="str">
            <v>Q585889110211X1</v>
          </cell>
          <cell r="E1537" t="str">
            <v>CROSS TUBE ASSY-ASSY INSPECTION FIXTURE</v>
          </cell>
          <cell r="F1537">
            <v>35120</v>
          </cell>
        </row>
        <row r="1538">
          <cell r="D1538" t="str">
            <v>A517143700171X1</v>
          </cell>
          <cell r="E1538" t="str">
            <v>BRACKET ASSY VACUUM CONECTN-CO2 WLDG FX</v>
          </cell>
          <cell r="F1538">
            <v>33620</v>
          </cell>
        </row>
        <row r="1539">
          <cell r="D1539" t="str">
            <v>D517143803333X1</v>
          </cell>
          <cell r="E1539" t="str">
            <v>BRACKET VACCUM PUMP MTG-BLANKING TOOL</v>
          </cell>
          <cell r="F1539">
            <v>151897.4</v>
          </cell>
        </row>
        <row r="1540">
          <cell r="D1540" t="str">
            <v>D517143803333X2</v>
          </cell>
          <cell r="E1540" t="str">
            <v>BRACKET VACCUM PUMP MTG- PIERCINGTOOL</v>
          </cell>
          <cell r="F1540">
            <v>108459.42</v>
          </cell>
        </row>
        <row r="1541">
          <cell r="D1541" t="str">
            <v>D517143803333X3</v>
          </cell>
          <cell r="E1541" t="str">
            <v>BRACKET VACCUM PUMP MTG- FORMING-1 TOOL</v>
          </cell>
          <cell r="F1541">
            <v>185413.15</v>
          </cell>
        </row>
        <row r="1542">
          <cell r="D1542" t="str">
            <v>D517143803333X4</v>
          </cell>
          <cell r="E1542" t="str">
            <v>BRACKET VACCUM PUMP MTG- FORMING-2 TOOL</v>
          </cell>
          <cell r="F1542">
            <v>185413.15</v>
          </cell>
        </row>
        <row r="1543">
          <cell r="D1543" t="str">
            <v>Q517143700171X1</v>
          </cell>
          <cell r="E1543" t="str">
            <v>BRAKET ASY VACUM CONECTION-ASY INSPEC FX</v>
          </cell>
          <cell r="F1543">
            <v>33620</v>
          </cell>
        </row>
        <row r="1544">
          <cell r="D1544" t="str">
            <v>Q517143803333X1</v>
          </cell>
          <cell r="E1544" t="str">
            <v>BRACKET VACCUM PUMP MTG-PANEL CHECKER</v>
          </cell>
          <cell r="F1544">
            <v>33163.97</v>
          </cell>
        </row>
        <row r="1545">
          <cell r="D1545" t="str">
            <v>D264249103311X1</v>
          </cell>
          <cell r="E1545" t="str">
            <v>L-BRACKET,SILENCER MTG-BLANKING TOOL</v>
          </cell>
          <cell r="F1545">
            <v>105247.2</v>
          </cell>
        </row>
        <row r="1546">
          <cell r="D1546" t="str">
            <v>D264249103311X2</v>
          </cell>
          <cell r="E1546" t="str">
            <v>L-BRACKET,SILENCER MTG-PIERCING TOOL</v>
          </cell>
          <cell r="F1546">
            <v>98676.75</v>
          </cell>
        </row>
        <row r="1547">
          <cell r="D1547" t="str">
            <v>D264249103311X3</v>
          </cell>
          <cell r="E1547" t="str">
            <v>L-BRACKET,SILENCER MTG-FLANGE UP TOOL</v>
          </cell>
          <cell r="F1547">
            <v>126272.64</v>
          </cell>
        </row>
        <row r="1548">
          <cell r="D1548" t="str">
            <v>D264249103311X4</v>
          </cell>
          <cell r="E1548" t="str">
            <v>L-BRACKET,SILENCER MTG-V-BENDING TOOL</v>
          </cell>
          <cell r="F1548">
            <v>126272.64</v>
          </cell>
        </row>
        <row r="1549">
          <cell r="D1549" t="str">
            <v>Q264249103311X1</v>
          </cell>
          <cell r="E1549" t="str">
            <v>L-BRACKET,SILENCER MTG-PANEL CHECKER</v>
          </cell>
          <cell r="F1549">
            <v>19042.900000000001</v>
          </cell>
        </row>
        <row r="1550">
          <cell r="D1550" t="str">
            <v>A554789100103X1</v>
          </cell>
          <cell r="E1550" t="str">
            <v>ASSY WELDING FIXTURE-SPACER PLATE ASSY</v>
          </cell>
          <cell r="F1550">
            <v>19870</v>
          </cell>
        </row>
        <row r="1551">
          <cell r="D1551" t="str">
            <v>D585889113389X1</v>
          </cell>
          <cell r="E1551" t="str">
            <v>"BLANKING-BRACKET,CAB</v>
          </cell>
          <cell r="F1551">
            <v>91230.24</v>
          </cell>
        </row>
        <row r="1552">
          <cell r="D1552" t="str">
            <v>D585889113389X2</v>
          </cell>
          <cell r="E1552" t="str">
            <v>"PIERCING-BRACKET,CAB</v>
          </cell>
          <cell r="F1552">
            <v>78965.399999999994</v>
          </cell>
        </row>
        <row r="1553">
          <cell r="D1553" t="str">
            <v>D585889113389X3</v>
          </cell>
          <cell r="E1553" t="str">
            <v>"FORMING-BRACKET,CAB</v>
          </cell>
          <cell r="F1553">
            <v>118563.31</v>
          </cell>
        </row>
        <row r="1554">
          <cell r="D1554" t="str">
            <v>Q554789100103X1</v>
          </cell>
          <cell r="E1554" t="str">
            <v>ASSY INSPECTION FIXTURE-SPACER PLATE ASS</v>
          </cell>
          <cell r="F1554">
            <v>20245</v>
          </cell>
        </row>
        <row r="1555">
          <cell r="D1555" t="str">
            <v>Q585889113389X1</v>
          </cell>
          <cell r="E1555" t="str">
            <v>"PANEL CHECKER-BRACKET,CAB</v>
          </cell>
          <cell r="F1555">
            <v>17886.5</v>
          </cell>
        </row>
        <row r="1556">
          <cell r="D1556" t="str">
            <v>D517183753330X1</v>
          </cell>
          <cell r="E1556" t="str">
            <v>BRACKET-BLANKING TOOL</v>
          </cell>
          <cell r="F1556">
            <v>80608.009999999995</v>
          </cell>
        </row>
        <row r="1557">
          <cell r="D1557" t="str">
            <v>D517183753330X2</v>
          </cell>
          <cell r="E1557" t="str">
            <v>BRACKET- PIERCING TOOL</v>
          </cell>
          <cell r="F1557">
            <v>58158.98</v>
          </cell>
        </row>
        <row r="1558">
          <cell r="D1558" t="str">
            <v>D517183753330X3</v>
          </cell>
          <cell r="E1558" t="str">
            <v>BRACKET-1ST FORMING TOOL</v>
          </cell>
          <cell r="F1558">
            <v>108517.82</v>
          </cell>
        </row>
        <row r="1559">
          <cell r="D1559" t="str">
            <v>D517183753330X4</v>
          </cell>
          <cell r="E1559" t="str">
            <v>BRACKET-2ND FORMING TOOL</v>
          </cell>
          <cell r="F1559">
            <v>112547.7</v>
          </cell>
        </row>
        <row r="1560">
          <cell r="D1560" t="str">
            <v>D517183753330X5</v>
          </cell>
          <cell r="E1560" t="str">
            <v>BRACKET-RISTRIKE TOOL</v>
          </cell>
          <cell r="F1560">
            <v>99173.18</v>
          </cell>
        </row>
        <row r="1561">
          <cell r="D1561" t="str">
            <v>Q517183753330X1</v>
          </cell>
          <cell r="E1561" t="str">
            <v>BRACKET-PANEL CHECKER</v>
          </cell>
          <cell r="F1561">
            <v>16984.16</v>
          </cell>
        </row>
        <row r="1562">
          <cell r="D1562" t="str">
            <v>D517188100105X1</v>
          </cell>
          <cell r="E1562" t="str">
            <v>BLANKING-MUD LINER EXTENSION BKT ASSY,LH</v>
          </cell>
          <cell r="F1562">
            <v>80488</v>
          </cell>
        </row>
        <row r="1563">
          <cell r="D1563" t="str">
            <v>D517188100105X2</v>
          </cell>
          <cell r="E1563" t="str">
            <v>PIERCING-MUD LINER EXTENSION BKT ASSY,LH</v>
          </cell>
          <cell r="F1563">
            <v>54936</v>
          </cell>
        </row>
        <row r="1564">
          <cell r="D1564" t="str">
            <v>D517188100105X3</v>
          </cell>
          <cell r="E1564" t="str">
            <v>FORMING 1ST-MUD LNR EXTENSION BKT ASY,LH</v>
          </cell>
          <cell r="F1564">
            <v>96586</v>
          </cell>
        </row>
        <row r="1565">
          <cell r="D1565" t="str">
            <v>D517188100105X4</v>
          </cell>
          <cell r="E1565" t="str">
            <v>FORMING 2ND-MUD LNR EXTENSION BKT ASY,LH</v>
          </cell>
          <cell r="F1565">
            <v>90147</v>
          </cell>
        </row>
        <row r="1566">
          <cell r="D1566" t="str">
            <v>Q517188100105X1</v>
          </cell>
          <cell r="E1566" t="str">
            <v>PANEL CHCKR-MUD LNR EXTENSION BKT ASY,LH</v>
          </cell>
          <cell r="F1566">
            <v>14487.8</v>
          </cell>
        </row>
        <row r="1567">
          <cell r="D1567" t="str">
            <v>D557683750102X1</v>
          </cell>
          <cell r="E1567" t="str">
            <v>BKT ASSY,COMPRESSOR MTG-BLANKING TOOL</v>
          </cell>
          <cell r="F1567">
            <v>190979.41</v>
          </cell>
        </row>
        <row r="1568">
          <cell r="D1568" t="str">
            <v>D557683750102X2</v>
          </cell>
          <cell r="E1568" t="str">
            <v>BKT ASSY,COMPRESSOR MTG-1ST FORMING TOOL</v>
          </cell>
          <cell r="F1568">
            <v>222989.66</v>
          </cell>
        </row>
        <row r="1569">
          <cell r="D1569" t="str">
            <v>D557683750102X3</v>
          </cell>
          <cell r="E1569" t="str">
            <v>BKT ASSY,COMPRESSOR MTG-2ND FORMING TOOL</v>
          </cell>
          <cell r="F1569">
            <v>275921.21000000002</v>
          </cell>
        </row>
        <row r="1570">
          <cell r="D1570" t="str">
            <v>D557683750102X4</v>
          </cell>
          <cell r="E1570" t="str">
            <v>BKT ASSY,COMPRESSOR MTG-PIERCING-1 TOOL</v>
          </cell>
          <cell r="F1570">
            <v>147955.13</v>
          </cell>
        </row>
        <row r="1571">
          <cell r="D1571" t="str">
            <v>D557683750102X5</v>
          </cell>
          <cell r="E1571" t="str">
            <v>BKT ASY,COMPRESSOR MTG-3RD FORMING TOOL</v>
          </cell>
          <cell r="F1571">
            <v>208914.3</v>
          </cell>
        </row>
        <row r="1572">
          <cell r="D1572" t="str">
            <v>D557683750102X6</v>
          </cell>
          <cell r="E1572" t="str">
            <v>BKT ASSY,COMPRESSOR MTG-RESTRIKE TOOL</v>
          </cell>
          <cell r="F1572">
            <v>148685.18</v>
          </cell>
        </row>
        <row r="1573">
          <cell r="D1573" t="str">
            <v>D557683750102X7</v>
          </cell>
          <cell r="E1573" t="str">
            <v>BKT ASSY,COMPRESSOR MTG-PIERCING-2 TOOL</v>
          </cell>
          <cell r="F1573">
            <v>151021.34</v>
          </cell>
        </row>
        <row r="1574">
          <cell r="D1574" t="str">
            <v>Q557683750102X1</v>
          </cell>
          <cell r="E1574" t="str">
            <v>BKT ASSY,COMPRESSOR MTG-PANEL CHECKER</v>
          </cell>
          <cell r="F1574">
            <v>33533.79</v>
          </cell>
        </row>
        <row r="1575">
          <cell r="D1575" t="str">
            <v>A557680500103X1</v>
          </cell>
          <cell r="E1575" t="str">
            <v>"ASSY WELDING FIXTURE-BRACKET ASSY, TRAC</v>
          </cell>
          <cell r="F1575">
            <v>50120</v>
          </cell>
        </row>
        <row r="1576">
          <cell r="D1576" t="str">
            <v>D557680503303X1</v>
          </cell>
          <cell r="E1576" t="str">
            <v>BLANKING TOOL-BRACKET,INVERTER MTG</v>
          </cell>
          <cell r="F1576">
            <v>130817.2</v>
          </cell>
        </row>
        <row r="1577">
          <cell r="D1577" t="str">
            <v>D557680503303X2</v>
          </cell>
          <cell r="E1577" t="str">
            <v>PIERCING TOOL-BRACKET,INVERTER MTG</v>
          </cell>
          <cell r="F1577">
            <v>84440.78</v>
          </cell>
        </row>
        <row r="1578">
          <cell r="D1578" t="str">
            <v>D557680503303X3</v>
          </cell>
          <cell r="E1578" t="str">
            <v>FORMING TOOL-BRACKET,INVERTER MTG</v>
          </cell>
          <cell r="F1578">
            <v>150755.6</v>
          </cell>
        </row>
        <row r="1579">
          <cell r="D1579" t="str">
            <v>D557680503303X4</v>
          </cell>
          <cell r="E1579" t="str">
            <v>RESTRIKE TOOL-BRACKET,INVERTER MTG</v>
          </cell>
          <cell r="F1579">
            <v>140289.60000000001</v>
          </cell>
        </row>
        <row r="1580">
          <cell r="D1580" t="str">
            <v>D557680503304X1</v>
          </cell>
          <cell r="E1580" t="str">
            <v>BLANKING TOOL-BRACKET,HV CABLE SUPPORT</v>
          </cell>
          <cell r="F1580">
            <v>88821.08</v>
          </cell>
        </row>
        <row r="1581">
          <cell r="D1581" t="str">
            <v>D557680503304X2</v>
          </cell>
          <cell r="E1581" t="str">
            <v>BLANKING TOOL-BRACKET,HV CABLE SUPPORT</v>
          </cell>
          <cell r="F1581">
            <v>61444.2</v>
          </cell>
        </row>
        <row r="1582">
          <cell r="D1582" t="str">
            <v>D557680503304X3</v>
          </cell>
          <cell r="E1582" t="str">
            <v>FORMING TOOL-BRACKET,HV CABLE SUPPORT</v>
          </cell>
          <cell r="F1582">
            <v>106561.29</v>
          </cell>
        </row>
        <row r="1583">
          <cell r="D1583" t="str">
            <v>D557680503305X1</v>
          </cell>
          <cell r="E1583" t="str">
            <v>BLANKING TOOL-L-BRACKET,CABLE SUPPORT</v>
          </cell>
          <cell r="F1583">
            <v>75570.67</v>
          </cell>
        </row>
        <row r="1584">
          <cell r="D1584" t="str">
            <v>D557680503305X2</v>
          </cell>
          <cell r="E1584" t="str">
            <v>PIERCING TOOL-L-BRACKET,CABLE SUPPORT</v>
          </cell>
          <cell r="F1584">
            <v>50493.45</v>
          </cell>
        </row>
        <row r="1585">
          <cell r="D1585" t="str">
            <v>D557680503305X3</v>
          </cell>
          <cell r="E1585" t="str">
            <v>FORMING TOOL-L-BRACKET,CABLE SUPPORT</v>
          </cell>
          <cell r="F1585">
            <v>90660.800000000003</v>
          </cell>
        </row>
        <row r="1586">
          <cell r="D1586" t="str">
            <v>Q557680500103X1</v>
          </cell>
          <cell r="E1586" t="str">
            <v>ASSY INSPESTION FIXTURE-BRACKET ASSY, T</v>
          </cell>
          <cell r="F1586">
            <v>50120</v>
          </cell>
        </row>
        <row r="1587">
          <cell r="D1587" t="str">
            <v>Q557680503303X1</v>
          </cell>
          <cell r="E1587" t="str">
            <v>PANEL CHECKER-BRACKET,INVERTER MTG</v>
          </cell>
          <cell r="F1587">
            <v>22715.34</v>
          </cell>
        </row>
        <row r="1588">
          <cell r="D1588" t="str">
            <v>Q557680503304X1</v>
          </cell>
          <cell r="E1588" t="str">
            <v>PANEL CHECKER-BRACKET,HV CABLE SUPPORT</v>
          </cell>
          <cell r="F1588">
            <v>16086.19</v>
          </cell>
        </row>
        <row r="1589">
          <cell r="D1589" t="str">
            <v>Q557680503305X1</v>
          </cell>
          <cell r="E1589" t="str">
            <v>PANEL CHECKER-L-BRACKET,CABLE SUPPORT</v>
          </cell>
          <cell r="F1589">
            <v>13701.12</v>
          </cell>
        </row>
        <row r="1590">
          <cell r="D1590" t="str">
            <v>D557680903303X1</v>
          </cell>
          <cell r="E1590" t="str">
            <v>BLANKING TOOL-BRACKET</v>
          </cell>
          <cell r="F1590">
            <v>126053.63</v>
          </cell>
        </row>
        <row r="1591">
          <cell r="D1591" t="str">
            <v>D557680903303X2</v>
          </cell>
          <cell r="E1591" t="str">
            <v>PIERCING TOOL-BRACKET</v>
          </cell>
          <cell r="F1591">
            <v>98676.75</v>
          </cell>
        </row>
        <row r="1592">
          <cell r="D1592" t="str">
            <v>D557680903303X3</v>
          </cell>
          <cell r="E1592" t="str">
            <v>FORMING TOOL(PVD COATING REQUIRED)-BRACK</v>
          </cell>
          <cell r="F1592">
            <v>188516.7</v>
          </cell>
        </row>
        <row r="1593">
          <cell r="D1593" t="str">
            <v>Q557680903303X1</v>
          </cell>
          <cell r="E1593" t="str">
            <v>PANEL CHECKER-BRACKET</v>
          </cell>
          <cell r="F1593">
            <v>25810.46</v>
          </cell>
        </row>
        <row r="1594">
          <cell r="D1594" t="str">
            <v>A557680900109X1</v>
          </cell>
          <cell r="E1594" t="str">
            <v>NUT WELDING FIXTURE-BRACKET ASSY</v>
          </cell>
          <cell r="F1594">
            <v>15120</v>
          </cell>
        </row>
        <row r="1595">
          <cell r="D1595" t="str">
            <v>D557680903305X1</v>
          </cell>
          <cell r="E1595" t="str">
            <v>BLANKING TOOL-BRACKET</v>
          </cell>
          <cell r="F1595">
            <v>104152.13</v>
          </cell>
        </row>
        <row r="1596">
          <cell r="D1596" t="str">
            <v>D557680903305X2</v>
          </cell>
          <cell r="E1596" t="str">
            <v>PIERCING TOOL-BRACKET</v>
          </cell>
          <cell r="F1596">
            <v>71299.88</v>
          </cell>
        </row>
        <row r="1597">
          <cell r="D1597" t="str">
            <v>D557680903305X3</v>
          </cell>
          <cell r="E1597" t="str">
            <v>FORMING-1 TOOL-BRACKET</v>
          </cell>
          <cell r="F1597">
            <v>141603.69</v>
          </cell>
        </row>
        <row r="1598">
          <cell r="D1598" t="str">
            <v>D557680903305X4</v>
          </cell>
          <cell r="E1598" t="str">
            <v>FORMING-2 TOOL-BRACKET</v>
          </cell>
          <cell r="F1598">
            <v>134157.18</v>
          </cell>
        </row>
        <row r="1599">
          <cell r="D1599" t="str">
            <v>Q557680903305X1</v>
          </cell>
          <cell r="E1599" t="str">
            <v>PANEL CHECKER-BRACKET</v>
          </cell>
          <cell r="F1599">
            <v>21342.55</v>
          </cell>
        </row>
        <row r="1600">
          <cell r="D1600" t="str">
            <v>A557688200103X1</v>
          </cell>
          <cell r="E1600" t="str">
            <v>A557688200103X1</v>
          </cell>
          <cell r="F1600">
            <v>100120</v>
          </cell>
        </row>
        <row r="1601">
          <cell r="D1601" t="str">
            <v>A557688200105X1</v>
          </cell>
          <cell r="E1601" t="str">
            <v>A557688200105X1</v>
          </cell>
          <cell r="F1601">
            <v>135120</v>
          </cell>
        </row>
        <row r="1602">
          <cell r="D1602" t="str">
            <v>A557689100104X1</v>
          </cell>
          <cell r="E1602" t="str">
            <v>A557689100104X1</v>
          </cell>
          <cell r="F1602">
            <v>63057</v>
          </cell>
        </row>
        <row r="1603">
          <cell r="D1603" t="str">
            <v>D557688203303X1</v>
          </cell>
          <cell r="E1603" t="str">
            <v>D557688203303X1</v>
          </cell>
          <cell r="F1603">
            <v>90080</v>
          </cell>
        </row>
        <row r="1604">
          <cell r="D1604" t="str">
            <v>D557688203303X2</v>
          </cell>
          <cell r="E1604" t="str">
            <v>D557688203303X2</v>
          </cell>
          <cell r="F1604">
            <v>57611</v>
          </cell>
        </row>
        <row r="1605">
          <cell r="D1605" t="str">
            <v>D557688203303X3</v>
          </cell>
          <cell r="E1605" t="str">
            <v>D557688203303X3</v>
          </cell>
          <cell r="F1605">
            <v>108072</v>
          </cell>
        </row>
        <row r="1606">
          <cell r="D1606" t="str">
            <v>D557688203303X4</v>
          </cell>
          <cell r="E1606" t="str">
            <v>D557688203303X4</v>
          </cell>
          <cell r="F1606">
            <v>88821</v>
          </cell>
        </row>
        <row r="1607">
          <cell r="D1607" t="str">
            <v>D557688203339X1</v>
          </cell>
          <cell r="E1607" t="str">
            <v>D557688203339X1</v>
          </cell>
          <cell r="F1607">
            <v>115924</v>
          </cell>
        </row>
        <row r="1608">
          <cell r="D1608" t="str">
            <v>D557688203339X2</v>
          </cell>
          <cell r="E1608" t="str">
            <v>D557688203339X2</v>
          </cell>
          <cell r="F1608">
            <v>77779</v>
          </cell>
        </row>
        <row r="1609">
          <cell r="D1609" t="str">
            <v>D557688203339X3</v>
          </cell>
          <cell r="E1609" t="str">
            <v>D557688203339X3</v>
          </cell>
          <cell r="F1609">
            <v>133938</v>
          </cell>
        </row>
        <row r="1610">
          <cell r="D1610" t="str">
            <v>D557688206903X1</v>
          </cell>
          <cell r="E1610" t="str">
            <v>D557688206903X1</v>
          </cell>
          <cell r="F1610">
            <v>79310</v>
          </cell>
        </row>
        <row r="1611">
          <cell r="D1611" t="str">
            <v>D557688206903X2</v>
          </cell>
          <cell r="E1611" t="str">
            <v>D557688206903X2</v>
          </cell>
          <cell r="F1611">
            <v>77542</v>
          </cell>
        </row>
        <row r="1612">
          <cell r="D1612" t="str">
            <v>Q557688200105X1</v>
          </cell>
          <cell r="E1612" t="str">
            <v>Q557688200105X1</v>
          </cell>
          <cell r="F1612">
            <v>100120</v>
          </cell>
        </row>
        <row r="1613">
          <cell r="D1613" t="str">
            <v>Q557688203303X1</v>
          </cell>
          <cell r="E1613" t="str">
            <v>Q557688203303X1</v>
          </cell>
          <cell r="F1613">
            <v>16312.87</v>
          </cell>
        </row>
        <row r="1614">
          <cell r="D1614" t="str">
            <v>Q557688203339X1</v>
          </cell>
          <cell r="E1614" t="str">
            <v>Q557688203339X1</v>
          </cell>
          <cell r="F1614">
            <v>20193</v>
          </cell>
        </row>
        <row r="1615">
          <cell r="D1615" t="str">
            <v>Q557688206903X1</v>
          </cell>
          <cell r="E1615" t="str">
            <v>Q557688206903X1</v>
          </cell>
          <cell r="F1615">
            <v>11998</v>
          </cell>
        </row>
        <row r="1616">
          <cell r="D1616" t="str">
            <v>A557688200106X1</v>
          </cell>
          <cell r="E1616" t="str">
            <v>A557688200106X1</v>
          </cell>
          <cell r="F1616">
            <v>106030</v>
          </cell>
        </row>
        <row r="1617">
          <cell r="D1617" t="str">
            <v>D557688206904X1</v>
          </cell>
          <cell r="E1617" t="str">
            <v>D557688206904X1</v>
          </cell>
          <cell r="F1617">
            <v>79309.98</v>
          </cell>
        </row>
        <row r="1618">
          <cell r="D1618" t="str">
            <v>D557688206904X2</v>
          </cell>
          <cell r="E1618" t="str">
            <v>D557688206904X2</v>
          </cell>
          <cell r="F1618">
            <v>77541.8</v>
          </cell>
        </row>
        <row r="1619">
          <cell r="D1619" t="str">
            <v>Q557688200106X1</v>
          </cell>
          <cell r="E1619" t="str">
            <v>Q557688200106X1</v>
          </cell>
          <cell r="F1619">
            <v>60120</v>
          </cell>
        </row>
        <row r="1620">
          <cell r="D1620" t="str">
            <v>Q557688206904X1</v>
          </cell>
          <cell r="E1620" t="str">
            <v>Q557688206904X1</v>
          </cell>
          <cell r="F1620">
            <v>11998.5</v>
          </cell>
        </row>
        <row r="1621">
          <cell r="D1621" t="str">
            <v>A557680900104X1</v>
          </cell>
          <cell r="E1621" t="str">
            <v>A557680900104X1</v>
          </cell>
          <cell r="F1621">
            <v>81190</v>
          </cell>
        </row>
        <row r="1622">
          <cell r="D1622" t="str">
            <v>D557680903302X1</v>
          </cell>
          <cell r="E1622" t="str">
            <v>D557680903302X1</v>
          </cell>
          <cell r="F1622">
            <v>192853.2</v>
          </cell>
        </row>
        <row r="1623">
          <cell r="D1623" t="str">
            <v>D557680903302X2</v>
          </cell>
          <cell r="E1623" t="str">
            <v>D557680903302X2</v>
          </cell>
          <cell r="F1623">
            <v>172594.31</v>
          </cell>
        </row>
        <row r="1624">
          <cell r="D1624" t="str">
            <v>D557680903302X3</v>
          </cell>
          <cell r="E1624" t="str">
            <v>D557680903302X3</v>
          </cell>
          <cell r="F1624">
            <v>267725.23</v>
          </cell>
        </row>
        <row r="1625">
          <cell r="D1625" t="str">
            <v>Q557680903302X1</v>
          </cell>
          <cell r="E1625" t="str">
            <v>Q557680903302X1</v>
          </cell>
          <cell r="F1625">
            <v>36611.620000000003</v>
          </cell>
        </row>
        <row r="1626">
          <cell r="D1626" t="str">
            <v>A554789100105X1</v>
          </cell>
          <cell r="E1626" t="str">
            <v>A554789100105X1</v>
          </cell>
          <cell r="F1626">
            <v>15120</v>
          </cell>
        </row>
        <row r="1627">
          <cell r="D1627" t="str">
            <v>D554789103304X1</v>
          </cell>
          <cell r="E1627" t="str">
            <v>D554789103304X1</v>
          </cell>
          <cell r="F1627">
            <v>101304.93</v>
          </cell>
        </row>
        <row r="1628">
          <cell r="D1628" t="str">
            <v>D554789103304X2</v>
          </cell>
          <cell r="E1628" t="str">
            <v>D554789103304X2</v>
          </cell>
          <cell r="F1628">
            <v>68452.679999999993</v>
          </cell>
        </row>
        <row r="1629">
          <cell r="D1629" t="str">
            <v>D554789103304X3</v>
          </cell>
          <cell r="E1629" t="str">
            <v>D554789103304X3</v>
          </cell>
          <cell r="F1629">
            <v>129636.71</v>
          </cell>
        </row>
        <row r="1630">
          <cell r="D1630" t="str">
            <v>D554789103305X1</v>
          </cell>
          <cell r="E1630" t="str">
            <v>D554789103305X1</v>
          </cell>
          <cell r="F1630">
            <v>64181.89</v>
          </cell>
        </row>
        <row r="1631">
          <cell r="D1631" t="str">
            <v>Q554789100105X1</v>
          </cell>
          <cell r="E1631" t="str">
            <v>Q554789100105X1</v>
          </cell>
          <cell r="F1631">
            <v>15120</v>
          </cell>
        </row>
        <row r="1632">
          <cell r="D1632" t="str">
            <v>Q554789103304X1</v>
          </cell>
          <cell r="E1632" t="str">
            <v>Q554789103304X1</v>
          </cell>
          <cell r="F1632">
            <v>19547.509999999998</v>
          </cell>
        </row>
        <row r="1633">
          <cell r="D1633" t="str">
            <v>Q554789103305X1</v>
          </cell>
          <cell r="E1633" t="str">
            <v>Q554789103305X1</v>
          </cell>
          <cell r="F1633">
            <v>19547.509999999998</v>
          </cell>
        </row>
        <row r="1634">
          <cell r="D1634" t="str">
            <v>D585888500231X1</v>
          </cell>
          <cell r="E1634" t="str">
            <v>D585888500231X1</v>
          </cell>
          <cell r="F1634">
            <v>110448.81</v>
          </cell>
        </row>
        <row r="1635">
          <cell r="D1635" t="str">
            <v>D585888500231X2</v>
          </cell>
          <cell r="E1635" t="str">
            <v>D585888500231X2</v>
          </cell>
          <cell r="F1635">
            <v>81958.61</v>
          </cell>
        </row>
        <row r="1636">
          <cell r="D1636" t="str">
            <v>D585888500231X3</v>
          </cell>
          <cell r="E1636" t="str">
            <v>D585888500231X3</v>
          </cell>
          <cell r="F1636">
            <v>120665.86</v>
          </cell>
        </row>
        <row r="1637">
          <cell r="D1637" t="str">
            <v>D585888500231X4</v>
          </cell>
          <cell r="E1637" t="str">
            <v>D585888500231X4</v>
          </cell>
          <cell r="F1637">
            <v>136785.35999999999</v>
          </cell>
        </row>
        <row r="1638">
          <cell r="D1638" t="str">
            <v>Q585888500231X1</v>
          </cell>
          <cell r="E1638" t="str">
            <v>Q585888500231X1</v>
          </cell>
          <cell r="F1638">
            <v>20619.8</v>
          </cell>
        </row>
        <row r="1639">
          <cell r="D1639" t="str">
            <v>A550749210155X1</v>
          </cell>
          <cell r="E1639" t="str">
            <v>A550749210155X1</v>
          </cell>
          <cell r="F1639">
            <v>48120</v>
          </cell>
        </row>
        <row r="1640">
          <cell r="D1640" t="str">
            <v>A550749210155X2</v>
          </cell>
          <cell r="E1640" t="str">
            <v>A550749210155X2</v>
          </cell>
          <cell r="F1640">
            <v>42120</v>
          </cell>
        </row>
        <row r="1641">
          <cell r="D1641" t="str">
            <v>A550749210156X1</v>
          </cell>
          <cell r="E1641" t="str">
            <v>A550749210156X1</v>
          </cell>
          <cell r="F1641">
            <v>48120</v>
          </cell>
        </row>
        <row r="1642">
          <cell r="D1642" t="str">
            <v>A550749210156X2</v>
          </cell>
          <cell r="E1642" t="str">
            <v>A550749210156X2</v>
          </cell>
          <cell r="F1642">
            <v>42120</v>
          </cell>
        </row>
        <row r="1643">
          <cell r="D1643" t="str">
            <v>D550749207109X1</v>
          </cell>
          <cell r="E1643" t="str">
            <v>D550749207109X1</v>
          </cell>
          <cell r="F1643">
            <v>92526.080000000002</v>
          </cell>
        </row>
        <row r="1644">
          <cell r="D1644" t="str">
            <v>D550749207140X1</v>
          </cell>
          <cell r="E1644" t="str">
            <v>D550749207140X1</v>
          </cell>
          <cell r="F1644">
            <v>103659.34</v>
          </cell>
        </row>
        <row r="1645">
          <cell r="D1645" t="str">
            <v>D550749207140X2</v>
          </cell>
          <cell r="E1645" t="str">
            <v>D550749207140X2</v>
          </cell>
          <cell r="F1645">
            <v>65824.5</v>
          </cell>
        </row>
        <row r="1646">
          <cell r="D1646" t="str">
            <v>D550749207141X1</v>
          </cell>
          <cell r="E1646" t="str">
            <v>D550749207141X1</v>
          </cell>
          <cell r="F1646">
            <v>65824.5</v>
          </cell>
        </row>
        <row r="1647">
          <cell r="D1647" t="str">
            <v>D550749207142X1</v>
          </cell>
          <cell r="E1647" t="str">
            <v>D550749207142X1</v>
          </cell>
          <cell r="F1647">
            <v>69045.850000000006</v>
          </cell>
        </row>
        <row r="1648">
          <cell r="D1648" t="str">
            <v>Q550749207109X1</v>
          </cell>
          <cell r="E1648" t="str">
            <v>Q550749207109X1</v>
          </cell>
          <cell r="F1648">
            <v>13980.91</v>
          </cell>
        </row>
        <row r="1649">
          <cell r="D1649" t="str">
            <v>Q550749207140X1</v>
          </cell>
          <cell r="E1649" t="str">
            <v>Q550749207140X1</v>
          </cell>
          <cell r="F1649">
            <v>15650.9</v>
          </cell>
        </row>
        <row r="1650">
          <cell r="D1650" t="str">
            <v>Q550749207141X1</v>
          </cell>
          <cell r="E1650" t="str">
            <v>Q550749207141X1</v>
          </cell>
          <cell r="F1650">
            <v>15650.9</v>
          </cell>
        </row>
        <row r="1651">
          <cell r="D1651" t="str">
            <v>Q550749207142X1</v>
          </cell>
          <cell r="E1651" t="str">
            <v>Q550749207142X1</v>
          </cell>
          <cell r="F1651">
            <v>10458.879999999999</v>
          </cell>
        </row>
        <row r="1652">
          <cell r="D1652" t="str">
            <v>Q550749210155X1</v>
          </cell>
          <cell r="E1652" t="str">
            <v>Q550749210155X1</v>
          </cell>
          <cell r="F1652">
            <v>45120</v>
          </cell>
        </row>
        <row r="1653">
          <cell r="D1653" t="str">
            <v>Q550749210156X1</v>
          </cell>
          <cell r="E1653" t="str">
            <v>Q550749210156X1</v>
          </cell>
          <cell r="F1653">
            <v>45120</v>
          </cell>
        </row>
        <row r="1654">
          <cell r="D1654" t="str">
            <v>D502380923366X1</v>
          </cell>
          <cell r="E1654" t="str">
            <v>D502380923366X1</v>
          </cell>
          <cell r="F1654">
            <v>147858.76</v>
          </cell>
        </row>
        <row r="1655">
          <cell r="D1655" t="str">
            <v>D502380923366X2</v>
          </cell>
          <cell r="E1655" t="str">
            <v>D502380923366X2</v>
          </cell>
          <cell r="F1655">
            <v>156496.71</v>
          </cell>
        </row>
        <row r="1656">
          <cell r="D1656" t="str">
            <v>D502380923366X3</v>
          </cell>
          <cell r="E1656" t="str">
            <v>D502380923366X3</v>
          </cell>
          <cell r="F1656">
            <v>156496.71</v>
          </cell>
        </row>
        <row r="1657">
          <cell r="D1657" t="str">
            <v>Q502380923366X1</v>
          </cell>
          <cell r="E1657" t="str">
            <v>Q502380923366X1</v>
          </cell>
          <cell r="F1657">
            <v>24076.51</v>
          </cell>
        </row>
        <row r="1658">
          <cell r="D1658" t="str">
            <v>A551541300104X1</v>
          </cell>
          <cell r="E1658" t="str">
            <v>A551541300104X1</v>
          </cell>
          <cell r="F1658">
            <v>41620</v>
          </cell>
        </row>
        <row r="1659">
          <cell r="D1659" t="str">
            <v>D551541300104X1</v>
          </cell>
          <cell r="E1659" t="str">
            <v>D551541300104X1</v>
          </cell>
          <cell r="F1659">
            <v>188492.37</v>
          </cell>
        </row>
        <row r="1660">
          <cell r="D1660" t="str">
            <v>D551541300104X2</v>
          </cell>
          <cell r="E1660" t="str">
            <v>D551541300104X2</v>
          </cell>
          <cell r="F1660">
            <v>137843.93</v>
          </cell>
        </row>
        <row r="1661">
          <cell r="D1661" t="str">
            <v>D551541300104X3</v>
          </cell>
          <cell r="E1661" t="str">
            <v>D551541300104X3</v>
          </cell>
          <cell r="F1661">
            <v>253475.09</v>
          </cell>
        </row>
        <row r="1662">
          <cell r="D1662" t="str">
            <v>D551541300104X4</v>
          </cell>
          <cell r="E1662" t="str">
            <v>D551541300104X4</v>
          </cell>
          <cell r="F1662">
            <v>78892.399999999994</v>
          </cell>
        </row>
        <row r="1663">
          <cell r="D1663" t="str">
            <v>Q551541300104X1</v>
          </cell>
          <cell r="E1663" t="str">
            <v>Q551541300104X1</v>
          </cell>
          <cell r="F1663">
            <v>40620</v>
          </cell>
        </row>
        <row r="1664">
          <cell r="D1664" t="str">
            <v>Q551541300104X2</v>
          </cell>
          <cell r="E1664" t="str">
            <v>Q551541300104X2</v>
          </cell>
          <cell r="F1664">
            <v>38123.26</v>
          </cell>
        </row>
        <row r="1665">
          <cell r="D1665" t="str">
            <v>Q551541300104X3</v>
          </cell>
          <cell r="E1665" t="str">
            <v>Q551541300104X3</v>
          </cell>
          <cell r="F1665">
            <v>11935.86</v>
          </cell>
        </row>
        <row r="1666">
          <cell r="D1666" t="str">
            <v>A551541300105X1</v>
          </cell>
          <cell r="E1666" t="str">
            <v>A551541300105X1</v>
          </cell>
          <cell r="F1666">
            <v>41620</v>
          </cell>
        </row>
        <row r="1667">
          <cell r="D1667" t="str">
            <v>D551541300105X1</v>
          </cell>
          <cell r="E1667" t="str">
            <v>D551541300105X1</v>
          </cell>
          <cell r="F1667">
            <v>185299.62</v>
          </cell>
        </row>
        <row r="1668">
          <cell r="D1668" t="str">
            <v>D551541300105X2</v>
          </cell>
          <cell r="E1668" t="str">
            <v>D551541300105X2</v>
          </cell>
          <cell r="F1668">
            <v>137843.93</v>
          </cell>
        </row>
        <row r="1669">
          <cell r="D1669" t="str">
            <v>D551541300105X3</v>
          </cell>
          <cell r="E1669" t="str">
            <v>D551541300105X3</v>
          </cell>
          <cell r="F1669">
            <v>253475.09</v>
          </cell>
        </row>
        <row r="1670">
          <cell r="D1670" t="str">
            <v>D551541300105X4</v>
          </cell>
          <cell r="E1670" t="str">
            <v>D551541300105X4</v>
          </cell>
          <cell r="F1670">
            <v>77943.33</v>
          </cell>
        </row>
        <row r="1671">
          <cell r="D1671" t="str">
            <v>Q551541300105X1</v>
          </cell>
          <cell r="E1671" t="str">
            <v>Q551541300105X1</v>
          </cell>
          <cell r="F1671">
            <v>40620</v>
          </cell>
        </row>
        <row r="1672">
          <cell r="D1672" t="str">
            <v>Q551541300105X2</v>
          </cell>
          <cell r="E1672" t="str">
            <v>Q551541300105X2</v>
          </cell>
          <cell r="F1672">
            <v>38123.26</v>
          </cell>
        </row>
        <row r="1673">
          <cell r="D1673" t="str">
            <v>Q551541300105X3</v>
          </cell>
          <cell r="E1673" t="str">
            <v>Q551541300105X3</v>
          </cell>
          <cell r="F1673">
            <v>11793.5</v>
          </cell>
        </row>
        <row r="1674">
          <cell r="D1674" t="str">
            <v>A551541300106X1</v>
          </cell>
          <cell r="E1674" t="str">
            <v>A551541300106X1</v>
          </cell>
          <cell r="F1674">
            <v>41620</v>
          </cell>
        </row>
        <row r="1675">
          <cell r="D1675" t="str">
            <v>D551541300106X1</v>
          </cell>
          <cell r="E1675" t="str">
            <v>D551541300106X1</v>
          </cell>
          <cell r="F1675">
            <v>198070.62</v>
          </cell>
        </row>
        <row r="1676">
          <cell r="D1676" t="str">
            <v>D551541300106X2</v>
          </cell>
          <cell r="E1676" t="str">
            <v>D551541300106X2</v>
          </cell>
          <cell r="F1676">
            <v>151897.4</v>
          </cell>
        </row>
        <row r="1677">
          <cell r="D1677" t="str">
            <v>D551541300106X3</v>
          </cell>
          <cell r="E1677" t="str">
            <v>D551541300106X3</v>
          </cell>
          <cell r="F1677">
            <v>260648.56</v>
          </cell>
        </row>
        <row r="1678">
          <cell r="D1678" t="str">
            <v>D551541300106X4</v>
          </cell>
          <cell r="E1678" t="str">
            <v>D551541300106X4</v>
          </cell>
          <cell r="F1678">
            <v>92515.13</v>
          </cell>
        </row>
        <row r="1679">
          <cell r="D1679" t="str">
            <v>Q551541300106X1</v>
          </cell>
          <cell r="E1679" t="str">
            <v>Q551541300106X1</v>
          </cell>
          <cell r="F1679">
            <v>40620</v>
          </cell>
        </row>
        <row r="1680">
          <cell r="D1680" t="str">
            <v>Q551541300106X2</v>
          </cell>
          <cell r="E1680" t="str">
            <v>Q551541300106X2</v>
          </cell>
          <cell r="F1680">
            <v>39199.279999999999</v>
          </cell>
        </row>
        <row r="1681">
          <cell r="D1681" t="str">
            <v>Q551541300106X3</v>
          </cell>
          <cell r="E1681" t="str">
            <v>Q551541300106X3</v>
          </cell>
          <cell r="F1681">
            <v>13979.27</v>
          </cell>
        </row>
        <row r="1682">
          <cell r="D1682" t="str">
            <v>A557631700108X1</v>
          </cell>
          <cell r="E1682" t="str">
            <v>A557631700108X1</v>
          </cell>
          <cell r="F1682">
            <v>86245</v>
          </cell>
        </row>
        <row r="1683">
          <cell r="D1683" t="str">
            <v>A557631700109X1</v>
          </cell>
          <cell r="E1683" t="str">
            <v>A557631700109X1</v>
          </cell>
          <cell r="F1683">
            <v>106540</v>
          </cell>
        </row>
        <row r="1684">
          <cell r="D1684" t="str">
            <v>D557631708201X1</v>
          </cell>
          <cell r="E1684" t="str">
            <v>D557631708201X1</v>
          </cell>
          <cell r="F1684">
            <v>76814</v>
          </cell>
        </row>
        <row r="1685">
          <cell r="D1685" t="str">
            <v>Q557631700109X1</v>
          </cell>
          <cell r="E1685" t="str">
            <v>Q557631700109X1</v>
          </cell>
          <cell r="F1685">
            <v>109745</v>
          </cell>
        </row>
        <row r="1686">
          <cell r="D1686" t="str">
            <v>D502380103400X1</v>
          </cell>
          <cell r="E1686" t="str">
            <v>D502380103400X1</v>
          </cell>
          <cell r="F1686">
            <v>103787.1</v>
          </cell>
        </row>
        <row r="1687">
          <cell r="D1687" t="str">
            <v>D502380103400X2</v>
          </cell>
          <cell r="E1687" t="str">
            <v>D502380103400X2</v>
          </cell>
          <cell r="F1687">
            <v>71299.88</v>
          </cell>
        </row>
        <row r="1688">
          <cell r="D1688" t="str">
            <v>D502380103400X3</v>
          </cell>
          <cell r="E1688" t="str">
            <v>D502380103400X3</v>
          </cell>
          <cell r="F1688">
            <v>161315.04</v>
          </cell>
        </row>
        <row r="1689">
          <cell r="D1689" t="str">
            <v>D502380103400X4</v>
          </cell>
          <cell r="E1689" t="str">
            <v>D502380103400X4</v>
          </cell>
          <cell r="F1689">
            <v>154306.56</v>
          </cell>
        </row>
        <row r="1690">
          <cell r="D1690" t="str">
            <v>Q502380103400X1</v>
          </cell>
          <cell r="E1690" t="str">
            <v>Q502380103400X1</v>
          </cell>
          <cell r="F1690">
            <v>24299.26</v>
          </cell>
        </row>
        <row r="1691">
          <cell r="D1691" t="str">
            <v>A557631700101X1</v>
          </cell>
          <cell r="E1691" t="str">
            <v>A557631700101X1</v>
          </cell>
          <cell r="F1691">
            <v>14120</v>
          </cell>
        </row>
        <row r="1692">
          <cell r="D1692" t="str">
            <v>A557631700102X1</v>
          </cell>
          <cell r="E1692" t="str">
            <v>A557631700102X1</v>
          </cell>
          <cell r="F1692">
            <v>14120</v>
          </cell>
        </row>
        <row r="1693">
          <cell r="D1693" t="str">
            <v>A557631700103X1</v>
          </cell>
          <cell r="E1693" t="str">
            <v>A557631700103X1</v>
          </cell>
          <cell r="F1693">
            <v>83120</v>
          </cell>
        </row>
        <row r="1694">
          <cell r="D1694" t="str">
            <v>A557631700104X1</v>
          </cell>
          <cell r="E1694" t="str">
            <v>A557631700104X1</v>
          </cell>
          <cell r="F1694">
            <v>108120</v>
          </cell>
        </row>
        <row r="1695">
          <cell r="D1695" t="str">
            <v>A557631700105X1</v>
          </cell>
          <cell r="E1695" t="str">
            <v>A557631700105X1</v>
          </cell>
          <cell r="F1695">
            <v>115120</v>
          </cell>
        </row>
        <row r="1696">
          <cell r="D1696" t="str">
            <v>D550731707112X1</v>
          </cell>
          <cell r="E1696" t="str">
            <v>D550731707112X1</v>
          </cell>
          <cell r="F1696">
            <v>108313</v>
          </cell>
        </row>
        <row r="1697">
          <cell r="D1697" t="str">
            <v>Q550731707112X1</v>
          </cell>
          <cell r="E1697" t="str">
            <v>Q550731707112X1</v>
          </cell>
          <cell r="F1697">
            <v>16349</v>
          </cell>
        </row>
        <row r="1698">
          <cell r="D1698" t="str">
            <v>Q557631700105X1</v>
          </cell>
          <cell r="E1698" t="str">
            <v>Q557631700105X1</v>
          </cell>
          <cell r="F1698">
            <v>135120</v>
          </cell>
        </row>
        <row r="1699">
          <cell r="D1699" t="str">
            <v>Q557631708203X1</v>
          </cell>
          <cell r="E1699" t="str">
            <v>Q557631708203X1</v>
          </cell>
          <cell r="F1699">
            <v>14120</v>
          </cell>
        </row>
        <row r="1700">
          <cell r="D1700" t="str">
            <v>Q557631708204X1</v>
          </cell>
          <cell r="E1700" t="str">
            <v>Q557631708204X1</v>
          </cell>
          <cell r="F1700">
            <v>14120</v>
          </cell>
        </row>
        <row r="1701">
          <cell r="D1701" t="str">
            <v>D570650103397X1</v>
          </cell>
          <cell r="E1701" t="str">
            <v>D570650103397X1</v>
          </cell>
          <cell r="F1701">
            <v>124374.51</v>
          </cell>
        </row>
        <row r="1702">
          <cell r="D1702" t="str">
            <v>D570650103397X2</v>
          </cell>
          <cell r="E1702" t="str">
            <v>D570650103397X2</v>
          </cell>
          <cell r="F1702">
            <v>101353.60000000001</v>
          </cell>
        </row>
        <row r="1703">
          <cell r="D1703" t="str">
            <v>D570650103397X3</v>
          </cell>
          <cell r="E1703" t="str">
            <v>D570650103397X3</v>
          </cell>
          <cell r="F1703">
            <v>145195.54</v>
          </cell>
        </row>
        <row r="1704">
          <cell r="D1704" t="str">
            <v>D570650103397X4</v>
          </cell>
          <cell r="E1704" t="str">
            <v>D570650103397X4</v>
          </cell>
          <cell r="F1704">
            <v>178777.84</v>
          </cell>
        </row>
        <row r="1705">
          <cell r="D1705" t="str">
            <v>D570650103397X5</v>
          </cell>
          <cell r="E1705" t="str">
            <v>D570650103397X5</v>
          </cell>
          <cell r="F1705">
            <v>164673.26999999999</v>
          </cell>
        </row>
        <row r="1706">
          <cell r="D1706" t="str">
            <v>Q570650103397X1</v>
          </cell>
          <cell r="E1706" t="str">
            <v>Q570650103397X1</v>
          </cell>
          <cell r="F1706">
            <v>26918.68</v>
          </cell>
        </row>
        <row r="1707">
          <cell r="D1707" t="str">
            <v>A557688200101X1</v>
          </cell>
          <cell r="E1707" t="str">
            <v>A557688200101X1</v>
          </cell>
          <cell r="F1707">
            <v>50120</v>
          </cell>
        </row>
        <row r="1708">
          <cell r="D1708" t="str">
            <v>A557688200101X2</v>
          </cell>
          <cell r="E1708" t="str">
            <v>A557688200101X2</v>
          </cell>
          <cell r="F1708">
            <v>130120</v>
          </cell>
        </row>
        <row r="1709">
          <cell r="D1709" t="str">
            <v>D557688206901X1</v>
          </cell>
          <cell r="E1709" t="str">
            <v>D557688206901X1</v>
          </cell>
          <cell r="F1709">
            <v>128287.58</v>
          </cell>
        </row>
        <row r="1710">
          <cell r="D1710" t="str">
            <v>D557688206901Y1</v>
          </cell>
          <cell r="E1710" t="str">
            <v>D557688206901Y1</v>
          </cell>
          <cell r="F1710">
            <v>119132.75</v>
          </cell>
        </row>
        <row r="1711">
          <cell r="D1711" t="str">
            <v>D557688213301X1</v>
          </cell>
          <cell r="E1711" t="str">
            <v>D557688213301X1</v>
          </cell>
          <cell r="F1711">
            <v>93949.68</v>
          </cell>
        </row>
        <row r="1712">
          <cell r="D1712" t="str">
            <v>D557688213301Y1</v>
          </cell>
          <cell r="E1712" t="str">
            <v>D557688213301Y1</v>
          </cell>
          <cell r="F1712">
            <v>65824.5</v>
          </cell>
        </row>
        <row r="1713">
          <cell r="D1713" t="str">
            <v>D585888213324Y1</v>
          </cell>
          <cell r="E1713" t="str">
            <v>D585888213324Y1</v>
          </cell>
          <cell r="F1713">
            <v>88402.51</v>
          </cell>
        </row>
        <row r="1714">
          <cell r="D1714" t="str">
            <v>Q557688200101X1</v>
          </cell>
          <cell r="E1714" t="str">
            <v>Q557688200101X1</v>
          </cell>
          <cell r="F1714">
            <v>70120</v>
          </cell>
        </row>
        <row r="1715">
          <cell r="D1715" t="str">
            <v>Q557688206901X1</v>
          </cell>
          <cell r="E1715" t="str">
            <v>Q557688206901X1</v>
          </cell>
          <cell r="F1715">
            <v>17971.91</v>
          </cell>
        </row>
        <row r="1716">
          <cell r="D1716" t="str">
            <v>Q557688213301X1</v>
          </cell>
          <cell r="E1716" t="str">
            <v>Q557688213301X1</v>
          </cell>
          <cell r="F1716">
            <v>14194.45</v>
          </cell>
        </row>
        <row r="1717">
          <cell r="D1717" t="str">
            <v>Q585888213324X1</v>
          </cell>
          <cell r="E1717" t="str">
            <v>Q585888213324X1</v>
          </cell>
          <cell r="F1717">
            <v>12862.38</v>
          </cell>
        </row>
        <row r="1718">
          <cell r="D1718" t="str">
            <v>A557688200102X1</v>
          </cell>
          <cell r="E1718" t="str">
            <v>A557688200102X1</v>
          </cell>
          <cell r="F1718">
            <v>130120</v>
          </cell>
        </row>
        <row r="1719">
          <cell r="D1719" t="str">
            <v>D557688206902X1</v>
          </cell>
          <cell r="E1719" t="str">
            <v>D557688206902X1</v>
          </cell>
          <cell r="F1719">
            <v>119132.75</v>
          </cell>
        </row>
        <row r="1720">
          <cell r="D1720" t="str">
            <v>D557688206902Y1</v>
          </cell>
          <cell r="E1720" t="str">
            <v>D557688206902Y1</v>
          </cell>
          <cell r="F1720">
            <v>128287.58</v>
          </cell>
        </row>
        <row r="1721">
          <cell r="D1721" t="str">
            <v>Q557688200102X1</v>
          </cell>
          <cell r="E1721" t="str">
            <v>Q557688200102X1</v>
          </cell>
          <cell r="F1721">
            <v>70120</v>
          </cell>
        </row>
        <row r="1722">
          <cell r="D1722" t="str">
            <v>Q557688206902X1</v>
          </cell>
          <cell r="E1722" t="str">
            <v>Q557688206902X1</v>
          </cell>
          <cell r="F1722">
            <v>30120</v>
          </cell>
        </row>
        <row r="1723">
          <cell r="D1723" t="str">
            <v>A585888500229X1</v>
          </cell>
          <cell r="E1723" t="str">
            <v>A585888500229X1</v>
          </cell>
          <cell r="F1723">
            <v>30120</v>
          </cell>
        </row>
        <row r="1724">
          <cell r="D1724" t="str">
            <v>D585888523301X1</v>
          </cell>
          <cell r="E1724" t="str">
            <v>D585888523301X1</v>
          </cell>
          <cell r="F1724">
            <v>144407.07999999999</v>
          </cell>
        </row>
        <row r="1725">
          <cell r="D1725" t="str">
            <v>D585888523301X2</v>
          </cell>
          <cell r="E1725" t="str">
            <v>D585888523301X2</v>
          </cell>
          <cell r="F1725">
            <v>119965.01</v>
          </cell>
        </row>
        <row r="1726">
          <cell r="D1726" t="str">
            <v>D585888523301X3</v>
          </cell>
          <cell r="E1726" t="str">
            <v>D585888523301X3</v>
          </cell>
          <cell r="F1726">
            <v>144407.07999999999</v>
          </cell>
        </row>
        <row r="1727">
          <cell r="D1727" t="str">
            <v>D585888523301X4</v>
          </cell>
          <cell r="E1727" t="str">
            <v>D585888523301X4</v>
          </cell>
          <cell r="F1727">
            <v>163645.35999999999</v>
          </cell>
        </row>
        <row r="1728">
          <cell r="D1728" t="str">
            <v>D585888523303X1</v>
          </cell>
          <cell r="E1728" t="str">
            <v>D585888523303X1</v>
          </cell>
          <cell r="F1728">
            <v>82732.460000000006</v>
          </cell>
        </row>
        <row r="1729">
          <cell r="D1729" t="str">
            <v>Q585888500229X1</v>
          </cell>
          <cell r="E1729" t="str">
            <v>Q585888500229X1</v>
          </cell>
          <cell r="F1729">
            <v>30120</v>
          </cell>
        </row>
        <row r="1730">
          <cell r="D1730" t="str">
            <v>Q585888523301X1</v>
          </cell>
          <cell r="E1730" t="str">
            <v>Q585888523301X1</v>
          </cell>
          <cell r="F1730">
            <v>21763.06</v>
          </cell>
        </row>
        <row r="1731">
          <cell r="D1731" t="str">
            <v>Q585888523303X1</v>
          </cell>
          <cell r="E1731" t="str">
            <v>Q585888523303X1</v>
          </cell>
          <cell r="F1731">
            <v>12511.87</v>
          </cell>
        </row>
        <row r="1732">
          <cell r="D1732" t="str">
            <v>A585888500230X1</v>
          </cell>
          <cell r="E1732" t="str">
            <v>A585888500230X1</v>
          </cell>
          <cell r="F1732">
            <v>30120</v>
          </cell>
        </row>
        <row r="1733">
          <cell r="D1733" t="str">
            <v>D585888523302X1</v>
          </cell>
          <cell r="E1733" t="str">
            <v>D585888523302X1</v>
          </cell>
          <cell r="F1733">
            <v>144407.07999999999</v>
          </cell>
        </row>
        <row r="1734">
          <cell r="D1734" t="str">
            <v>D585888523302X2</v>
          </cell>
          <cell r="E1734" t="str">
            <v>D585888523302X2</v>
          </cell>
          <cell r="F1734">
            <v>163645.35999999999</v>
          </cell>
        </row>
        <row r="1735">
          <cell r="D1735" t="str">
            <v>Q585888500230X1</v>
          </cell>
          <cell r="E1735" t="str">
            <v>Q585888500230X1</v>
          </cell>
          <cell r="F1735">
            <v>30120</v>
          </cell>
        </row>
        <row r="1736">
          <cell r="D1736" t="str">
            <v>Q585888523302X1</v>
          </cell>
          <cell r="E1736" t="str">
            <v>Q585888523302X1</v>
          </cell>
          <cell r="F1736">
            <v>21763</v>
          </cell>
        </row>
        <row r="1737">
          <cell r="D1737" t="str">
            <v>D585888520138X1</v>
          </cell>
          <cell r="E1737" t="str">
            <v>D585888520138X1</v>
          </cell>
          <cell r="F1737">
            <v>80425.5</v>
          </cell>
        </row>
        <row r="1738">
          <cell r="D1738" t="str">
            <v>D585888520138X2</v>
          </cell>
          <cell r="E1738" t="str">
            <v>D585888520138X2</v>
          </cell>
          <cell r="F1738">
            <v>55056.26</v>
          </cell>
        </row>
        <row r="1739">
          <cell r="D1739" t="str">
            <v>D585888520138X3</v>
          </cell>
          <cell r="E1739" t="str">
            <v>D585888520138X3</v>
          </cell>
          <cell r="F1739">
            <v>98799.4</v>
          </cell>
        </row>
        <row r="1740">
          <cell r="D1740" t="str">
            <v>D585888520138X4</v>
          </cell>
          <cell r="E1740" t="str">
            <v>D585888520138X4</v>
          </cell>
          <cell r="F1740">
            <v>98413.93</v>
          </cell>
        </row>
        <row r="1741">
          <cell r="D1741" t="str">
            <v>Q585888520138X1</v>
          </cell>
          <cell r="E1741" t="str">
            <v>Q585888520138X1</v>
          </cell>
          <cell r="F1741">
            <v>14922</v>
          </cell>
        </row>
        <row r="1742">
          <cell r="D1742" t="str">
            <v>D585898408293X1</v>
          </cell>
          <cell r="E1742" t="str">
            <v>D585898408293X1</v>
          </cell>
          <cell r="F1742">
            <v>118570.61</v>
          </cell>
        </row>
        <row r="1743">
          <cell r="D1743" t="str">
            <v>D585898408293X2</v>
          </cell>
          <cell r="E1743" t="str">
            <v>D585898408293X2</v>
          </cell>
          <cell r="F1743">
            <v>96851.63</v>
          </cell>
        </row>
        <row r="1744">
          <cell r="D1744" t="str">
            <v>D585898408293X3</v>
          </cell>
          <cell r="E1744" t="str">
            <v>D585898408293X3</v>
          </cell>
          <cell r="F1744">
            <v>148980.12</v>
          </cell>
        </row>
        <row r="1745">
          <cell r="D1745" t="str">
            <v>Q585898408293X1</v>
          </cell>
          <cell r="E1745" t="str">
            <v>Q585898408293X1</v>
          </cell>
          <cell r="F1745">
            <v>22449.02</v>
          </cell>
        </row>
        <row r="1746">
          <cell r="D1746" t="str">
            <v>D517180103346X1</v>
          </cell>
          <cell r="E1746" t="str">
            <v>D517180103346X1</v>
          </cell>
          <cell r="F1746">
            <v>74903.13</v>
          </cell>
        </row>
        <row r="1747">
          <cell r="D1747" t="str">
            <v>D517180103346X2</v>
          </cell>
          <cell r="E1747" t="str">
            <v>D517180103346X2</v>
          </cell>
          <cell r="F1747">
            <v>52016.06</v>
          </cell>
        </row>
        <row r="1748">
          <cell r="D1748" t="str">
            <v>D517180103346X3</v>
          </cell>
          <cell r="E1748" t="str">
            <v>D517180103346X3</v>
          </cell>
          <cell r="F1748">
            <v>87386.99</v>
          </cell>
        </row>
        <row r="1749">
          <cell r="D1749" t="str">
            <v>D517180103346X4</v>
          </cell>
          <cell r="E1749" t="str">
            <v>D517180103346X4</v>
          </cell>
          <cell r="F1749">
            <v>88663.11</v>
          </cell>
        </row>
        <row r="1750">
          <cell r="D1750" t="str">
            <v>Q517180103346X1</v>
          </cell>
          <cell r="E1750" t="str">
            <v>Q517180103346X1</v>
          </cell>
          <cell r="F1750">
            <v>13108.05</v>
          </cell>
        </row>
        <row r="1751">
          <cell r="D1751" t="str">
            <v>D264249103305X1</v>
          </cell>
          <cell r="E1751" t="str">
            <v>D264249103305X1</v>
          </cell>
          <cell r="F1751">
            <v>80188.23</v>
          </cell>
        </row>
        <row r="1752">
          <cell r="D1752" t="str">
            <v>D264249103305X2</v>
          </cell>
          <cell r="E1752" t="str">
            <v>D264249103305X2</v>
          </cell>
          <cell r="F1752">
            <v>70350.81</v>
          </cell>
        </row>
        <row r="1753">
          <cell r="D1753" t="str">
            <v>D264249103305X3</v>
          </cell>
          <cell r="E1753" t="str">
            <v>D264249103305X3</v>
          </cell>
          <cell r="F1753">
            <v>110620.37</v>
          </cell>
        </row>
        <row r="1754">
          <cell r="D1754" t="str">
            <v>D264249103305X4</v>
          </cell>
          <cell r="E1754" t="str">
            <v>D264249103305X4</v>
          </cell>
          <cell r="F1754">
            <v>104371.14</v>
          </cell>
        </row>
        <row r="1755">
          <cell r="D1755" t="str">
            <v>Q264249103305X1</v>
          </cell>
          <cell r="E1755" t="str">
            <v>Q264249103305X1</v>
          </cell>
          <cell r="F1755">
            <v>16695.060000000001</v>
          </cell>
        </row>
        <row r="1756">
          <cell r="D1756" t="str">
            <v>D264249103308X1</v>
          </cell>
          <cell r="E1756" t="str">
            <v>D264249103308X1</v>
          </cell>
          <cell r="F1756">
            <v>86265.9</v>
          </cell>
        </row>
        <row r="1757">
          <cell r="D1757" t="str">
            <v>D264249103308X2</v>
          </cell>
          <cell r="E1757" t="str">
            <v>D264249103308X2</v>
          </cell>
          <cell r="F1757">
            <v>67832.14</v>
          </cell>
        </row>
        <row r="1758">
          <cell r="D1758" t="str">
            <v>D264249103308X3</v>
          </cell>
          <cell r="E1758" t="str">
            <v>D264249103308X3</v>
          </cell>
          <cell r="F1758">
            <v>119518.22</v>
          </cell>
        </row>
        <row r="1759">
          <cell r="D1759" t="str">
            <v>D264249103308X4</v>
          </cell>
          <cell r="E1759" t="str">
            <v>D264249103308X4</v>
          </cell>
          <cell r="F1759">
            <v>110626.21</v>
          </cell>
        </row>
        <row r="1760">
          <cell r="D1760" t="str">
            <v>Q264249103308X1</v>
          </cell>
          <cell r="E1760" t="str">
            <v>Q264249103308X1</v>
          </cell>
          <cell r="F1760">
            <v>18029.73</v>
          </cell>
        </row>
        <row r="1761">
          <cell r="D1761" t="str">
            <v>A264249200145X1</v>
          </cell>
          <cell r="E1761" t="str">
            <v>A264249200145X1</v>
          </cell>
          <cell r="F1761">
            <v>48331.32</v>
          </cell>
        </row>
        <row r="1762">
          <cell r="D1762" t="str">
            <v>D264249103306X1</v>
          </cell>
          <cell r="E1762" t="str">
            <v>D264249103306X1</v>
          </cell>
          <cell r="F1762">
            <v>70460.320000000007</v>
          </cell>
        </row>
        <row r="1763">
          <cell r="D1763" t="str">
            <v>D550749103312X1</v>
          </cell>
          <cell r="E1763" t="str">
            <v>D550749103312X1</v>
          </cell>
          <cell r="F1763">
            <v>89040.09</v>
          </cell>
        </row>
        <row r="1764">
          <cell r="D1764" t="str">
            <v>D550749103312X2</v>
          </cell>
          <cell r="E1764" t="str">
            <v>D550749103312X2</v>
          </cell>
          <cell r="F1764">
            <v>62721.79</v>
          </cell>
        </row>
        <row r="1765">
          <cell r="D1765" t="str">
            <v>D550749103312X3</v>
          </cell>
          <cell r="E1765" t="str">
            <v>D550749103312X3</v>
          </cell>
          <cell r="F1765">
            <v>113937.72</v>
          </cell>
        </row>
        <row r="1766">
          <cell r="D1766" t="str">
            <v>Q264249103306X1</v>
          </cell>
          <cell r="E1766" t="str">
            <v>Q264249103306X1</v>
          </cell>
          <cell r="F1766">
            <v>10671.05</v>
          </cell>
        </row>
        <row r="1767">
          <cell r="D1767" t="str">
            <v>Q264249200145X1</v>
          </cell>
          <cell r="E1767" t="str">
            <v>Q264249200145X1</v>
          </cell>
          <cell r="F1767">
            <v>48331.32</v>
          </cell>
        </row>
        <row r="1768">
          <cell r="D1768" t="str">
            <v>Q550749103312X1</v>
          </cell>
          <cell r="E1768" t="str">
            <v>Q550749103312X1</v>
          </cell>
          <cell r="F1768">
            <v>17192.66</v>
          </cell>
        </row>
        <row r="1769">
          <cell r="D1769" t="str">
            <v>D264249203313X1</v>
          </cell>
          <cell r="E1769" t="str">
            <v>D264249203313X1</v>
          </cell>
          <cell r="F1769">
            <v>120213.23</v>
          </cell>
        </row>
        <row r="1770">
          <cell r="D1770" t="str">
            <v>D264249203313X2</v>
          </cell>
          <cell r="E1770" t="str">
            <v>D264249203313X2</v>
          </cell>
          <cell r="F1770">
            <v>95785.75</v>
          </cell>
        </row>
        <row r="1771">
          <cell r="D1771" t="str">
            <v>D264249203313X3</v>
          </cell>
          <cell r="E1771" t="str">
            <v>D264249203313X3</v>
          </cell>
          <cell r="F1771">
            <v>153839.32999999999</v>
          </cell>
        </row>
        <row r="1772">
          <cell r="D1772" t="str">
            <v>D264249203313X4</v>
          </cell>
          <cell r="E1772" t="str">
            <v>D264249203313X4</v>
          </cell>
          <cell r="F1772">
            <v>158643.06</v>
          </cell>
        </row>
        <row r="1773">
          <cell r="D1773" t="str">
            <v>Q264249203313X1</v>
          </cell>
          <cell r="E1773" t="str">
            <v>Q264249203313X1</v>
          </cell>
          <cell r="F1773">
            <v>23177.9</v>
          </cell>
        </row>
        <row r="1774">
          <cell r="D1774" t="str">
            <v>A517154800104X1</v>
          </cell>
          <cell r="E1774" t="str">
            <v>A517154800104X1</v>
          </cell>
          <cell r="F1774">
            <v>20374</v>
          </cell>
        </row>
        <row r="1775">
          <cell r="D1775" t="str">
            <v>D517154803305X1</v>
          </cell>
          <cell r="E1775" t="str">
            <v>D517154803305X1</v>
          </cell>
          <cell r="F1775">
            <v>99990.84</v>
          </cell>
        </row>
        <row r="1776">
          <cell r="D1776" t="str">
            <v>D517154803305X2</v>
          </cell>
          <cell r="E1776" t="str">
            <v>D517154803305X2</v>
          </cell>
          <cell r="F1776">
            <v>139939.18</v>
          </cell>
        </row>
        <row r="1777">
          <cell r="D1777" t="str">
            <v>D517154803305X3</v>
          </cell>
          <cell r="E1777" t="str">
            <v>D517154803305X3</v>
          </cell>
          <cell r="F1777">
            <v>138712.69</v>
          </cell>
        </row>
        <row r="1778">
          <cell r="D1778" t="str">
            <v>D517154803305X4</v>
          </cell>
          <cell r="E1778" t="str">
            <v>D517154803305X4</v>
          </cell>
          <cell r="F1778">
            <v>130793.11</v>
          </cell>
        </row>
        <row r="1779">
          <cell r="D1779" t="str">
            <v>D517154803305X5</v>
          </cell>
          <cell r="E1779" t="str">
            <v>D517154803305X5</v>
          </cell>
          <cell r="F1779">
            <v>91628.12</v>
          </cell>
        </row>
        <row r="1780">
          <cell r="D1780" t="str">
            <v>D517154803308X1</v>
          </cell>
          <cell r="E1780" t="str">
            <v>D517154803308X1</v>
          </cell>
          <cell r="F1780">
            <v>43923</v>
          </cell>
        </row>
        <row r="1781">
          <cell r="D1781" t="str">
            <v>Q517154800104X1</v>
          </cell>
          <cell r="E1781" t="str">
            <v>Q517154800104X1</v>
          </cell>
          <cell r="F1781">
            <v>20374</v>
          </cell>
        </row>
        <row r="1782">
          <cell r="D1782" t="str">
            <v>Q517154803305X1</v>
          </cell>
          <cell r="E1782" t="str">
            <v>Q517154803305X1</v>
          </cell>
          <cell r="F1782">
            <v>21092.880000000001</v>
          </cell>
        </row>
        <row r="1783">
          <cell r="D1783" t="str">
            <v>Q517154803308X1</v>
          </cell>
          <cell r="E1783" t="str">
            <v>Q517154803308X1</v>
          </cell>
          <cell r="F1783">
            <v>6690.45</v>
          </cell>
        </row>
        <row r="1784">
          <cell r="D1784" t="str">
            <v>A585898400163X1</v>
          </cell>
          <cell r="E1784" t="str">
            <v>A585898400163X1</v>
          </cell>
          <cell r="F1784">
            <v>45120</v>
          </cell>
        </row>
        <row r="1785">
          <cell r="D1785" t="str">
            <v>D585898408279X1</v>
          </cell>
          <cell r="E1785" t="str">
            <v>D585898408279X1</v>
          </cell>
          <cell r="F1785">
            <v>189860</v>
          </cell>
        </row>
        <row r="1786">
          <cell r="D1786" t="str">
            <v>D585898408279X2</v>
          </cell>
          <cell r="E1786" t="str">
            <v>D585898408279X2</v>
          </cell>
          <cell r="F1786">
            <v>227807.99</v>
          </cell>
        </row>
        <row r="1787">
          <cell r="D1787" t="str">
            <v>D585898408279X3</v>
          </cell>
          <cell r="E1787" t="str">
            <v>D585898408279X3</v>
          </cell>
          <cell r="F1787">
            <v>375805.19</v>
          </cell>
        </row>
        <row r="1788">
          <cell r="D1788" t="str">
            <v>D585898408279X4</v>
          </cell>
          <cell r="E1788" t="str">
            <v>D585898408279X4</v>
          </cell>
          <cell r="F1788">
            <v>236965.01</v>
          </cell>
        </row>
        <row r="1789">
          <cell r="D1789" t="str">
            <v>D585898408279X5</v>
          </cell>
          <cell r="E1789" t="str">
            <v>D585898408279X5</v>
          </cell>
          <cell r="F1789">
            <v>176974.61</v>
          </cell>
        </row>
        <row r="1790">
          <cell r="D1790" t="str">
            <v>D585898408280X1</v>
          </cell>
          <cell r="E1790" t="str">
            <v>D585898408280X1</v>
          </cell>
          <cell r="F1790">
            <v>97052.39</v>
          </cell>
        </row>
        <row r="1791">
          <cell r="D1791" t="str">
            <v>D585898408280X2</v>
          </cell>
          <cell r="E1791" t="str">
            <v>D585898408280X2</v>
          </cell>
          <cell r="F1791">
            <v>70861.850000000006</v>
          </cell>
        </row>
        <row r="1792">
          <cell r="D1792" t="str">
            <v>D585898408280X3</v>
          </cell>
          <cell r="E1792" t="str">
            <v>D585898408280X3</v>
          </cell>
          <cell r="F1792">
            <v>104918.68</v>
          </cell>
        </row>
        <row r="1793">
          <cell r="D1793" t="str">
            <v>Q585898400163X1</v>
          </cell>
          <cell r="E1793" t="str">
            <v>Q585898400163X1</v>
          </cell>
          <cell r="F1793">
            <v>45120</v>
          </cell>
        </row>
        <row r="1794">
          <cell r="D1794" t="str">
            <v>Q585898408279X1</v>
          </cell>
          <cell r="E1794" t="str">
            <v>Q585898408279X1</v>
          </cell>
          <cell r="F1794">
            <v>34273.199999999997</v>
          </cell>
        </row>
        <row r="1795">
          <cell r="D1795" t="str">
            <v>Q585898408280X1</v>
          </cell>
          <cell r="E1795" t="str">
            <v>Q585898408280X1</v>
          </cell>
          <cell r="F1795">
            <v>15839.8</v>
          </cell>
        </row>
        <row r="1796">
          <cell r="D1796" t="str">
            <v>D264249200142X1</v>
          </cell>
          <cell r="E1796" t="str">
            <v>D264249200142X1</v>
          </cell>
          <cell r="F1796">
            <v>116380.46</v>
          </cell>
        </row>
        <row r="1797">
          <cell r="D1797" t="str">
            <v>D264249200142X2</v>
          </cell>
          <cell r="E1797" t="str">
            <v>D264249200142X2</v>
          </cell>
          <cell r="F1797">
            <v>86813.440000000002</v>
          </cell>
        </row>
        <row r="1798">
          <cell r="D1798" t="str">
            <v>D264249200142X3</v>
          </cell>
          <cell r="E1798" t="str">
            <v>D264249200142X3</v>
          </cell>
          <cell r="F1798">
            <v>148933.39000000001</v>
          </cell>
        </row>
        <row r="1799">
          <cell r="D1799" t="str">
            <v>D264249200142X4</v>
          </cell>
          <cell r="E1799" t="str">
            <v>D264249200142X4</v>
          </cell>
          <cell r="F1799">
            <v>126272.64</v>
          </cell>
        </row>
        <row r="1800">
          <cell r="D1800" t="str">
            <v>D264249200142X5</v>
          </cell>
          <cell r="E1800" t="str">
            <v>D264249200142X5</v>
          </cell>
          <cell r="F1800">
            <v>126272.64</v>
          </cell>
        </row>
        <row r="1801">
          <cell r="D1801" t="str">
            <v>Q264249200142X1</v>
          </cell>
          <cell r="E1801" t="str">
            <v>Q264249200142X1</v>
          </cell>
          <cell r="F1801">
            <v>22442.01</v>
          </cell>
        </row>
        <row r="1802">
          <cell r="D1802" t="str">
            <v>D570650113306X1</v>
          </cell>
          <cell r="E1802" t="str">
            <v>D570650113306X1</v>
          </cell>
          <cell r="F1802">
            <v>108952.2</v>
          </cell>
        </row>
        <row r="1803">
          <cell r="D1803" t="str">
            <v>D570650113306X2</v>
          </cell>
          <cell r="E1803" t="str">
            <v>D570650113306X2</v>
          </cell>
          <cell r="F1803">
            <v>79512.94</v>
          </cell>
        </row>
        <row r="1804">
          <cell r="D1804" t="str">
            <v>D570650113306X3</v>
          </cell>
          <cell r="E1804" t="str">
            <v>D570650113306X3</v>
          </cell>
          <cell r="F1804">
            <v>125729.48</v>
          </cell>
        </row>
        <row r="1805">
          <cell r="D1805" t="str">
            <v>D570650113306X4</v>
          </cell>
          <cell r="E1805" t="str">
            <v>D570650113306X4</v>
          </cell>
          <cell r="F1805">
            <v>126104.44</v>
          </cell>
        </row>
        <row r="1806">
          <cell r="D1806" t="str">
            <v>D570650113306X5</v>
          </cell>
          <cell r="E1806" t="str">
            <v>D570650113306X5</v>
          </cell>
          <cell r="F1806">
            <v>126104.44</v>
          </cell>
        </row>
        <row r="1807">
          <cell r="D1807" t="str">
            <v>Q570650113306X1</v>
          </cell>
          <cell r="E1807" t="str">
            <v>Q570650113306X1</v>
          </cell>
          <cell r="F1807">
            <v>19017.669999999998</v>
          </cell>
        </row>
        <row r="1808">
          <cell r="D1808">
            <v>12580600849</v>
          </cell>
          <cell r="E1808" t="str">
            <v>TAB WASHER 8.4 TS17730</v>
          </cell>
          <cell r="F1808">
            <v>36.03</v>
          </cell>
        </row>
        <row r="1809">
          <cell r="D1809">
            <v>215340300106</v>
          </cell>
          <cell r="E1809" t="str">
            <v>BRACKET ASSY,SPARE WHEEL CARRIER MTG</v>
          </cell>
          <cell r="F1809">
            <v>1516.71</v>
          </cell>
        </row>
        <row r="1810">
          <cell r="D1810">
            <v>250526406101</v>
          </cell>
          <cell r="E1810" t="str">
            <v>LOCKING PLATE</v>
          </cell>
          <cell r="F1810">
            <v>1.1100000000000001</v>
          </cell>
        </row>
        <row r="1811">
          <cell r="D1811">
            <v>253409140330</v>
          </cell>
          <cell r="E1811" t="str">
            <v>BRACKET ASSY,AIR FILTER MTG</v>
          </cell>
          <cell r="F1811">
            <v>832.97</v>
          </cell>
        </row>
        <row r="1812">
          <cell r="D1812">
            <v>253418170322</v>
          </cell>
          <cell r="E1812" t="str">
            <v>BRACKET</v>
          </cell>
          <cell r="F1812">
            <v>12.09</v>
          </cell>
        </row>
        <row r="1813">
          <cell r="D1813">
            <v>253425108206</v>
          </cell>
          <cell r="E1813" t="str">
            <v>COVER ( FOR INSPECTION WINDOW )</v>
          </cell>
          <cell r="F1813">
            <v>8.56</v>
          </cell>
        </row>
        <row r="1814">
          <cell r="D1814">
            <v>259286900128</v>
          </cell>
          <cell r="E1814" t="str">
            <v>ASSY RETAINER ANGLE SIDE RH</v>
          </cell>
          <cell r="F1814">
            <v>33.590000000000003</v>
          </cell>
        </row>
        <row r="1815">
          <cell r="D1815">
            <v>259286908218</v>
          </cell>
          <cell r="E1815" t="str">
            <v>RETAINER ANGLE</v>
          </cell>
          <cell r="F1815">
            <v>22.42</v>
          </cell>
        </row>
        <row r="1816">
          <cell r="D1816">
            <v>259286908220</v>
          </cell>
          <cell r="E1816" t="str">
            <v>RETAINER ANGLE</v>
          </cell>
          <cell r="F1816">
            <v>48.33</v>
          </cell>
        </row>
        <row r="1817">
          <cell r="D1817">
            <v>260043503307</v>
          </cell>
          <cell r="E1817" t="str">
            <v>BRACKET</v>
          </cell>
          <cell r="F1817">
            <v>45.1</v>
          </cell>
        </row>
        <row r="1818">
          <cell r="D1818">
            <v>264032100105</v>
          </cell>
          <cell r="E1818" t="str">
            <v>ASSY SHACKLE WITH BUSH</v>
          </cell>
          <cell r="F1818">
            <v>238.22</v>
          </cell>
        </row>
        <row r="1819">
          <cell r="D1819">
            <v>264140300111</v>
          </cell>
          <cell r="E1819" t="str">
            <v>ASSY.SPARE WHEEL CARRIER</v>
          </cell>
          <cell r="F1819">
            <v>875.27</v>
          </cell>
        </row>
        <row r="1820">
          <cell r="D1820">
            <v>264189100193</v>
          </cell>
          <cell r="E1820" t="str">
            <v>TIE MEMBER ASSY,REAR MTG</v>
          </cell>
          <cell r="F1820">
            <v>251.29</v>
          </cell>
        </row>
        <row r="1821">
          <cell r="D1821">
            <v>265132100146</v>
          </cell>
          <cell r="E1821" t="str">
            <v>ASSY. SHACKLE (FRONT SPRING)</v>
          </cell>
          <cell r="F1821">
            <v>105.64</v>
          </cell>
        </row>
        <row r="1822">
          <cell r="D1822">
            <v>265754603301</v>
          </cell>
          <cell r="E1822" t="str">
            <v>BRACKET,FUSE BOX MTG</v>
          </cell>
          <cell r="F1822">
            <v>62.13</v>
          </cell>
        </row>
        <row r="1823">
          <cell r="D1823">
            <v>270532400109</v>
          </cell>
          <cell r="E1823" t="str">
            <v>ASSY. SHACKLE (REAR)</v>
          </cell>
          <cell r="F1823">
            <v>119.31</v>
          </cell>
        </row>
        <row r="1824">
          <cell r="D1824">
            <v>270540300104</v>
          </cell>
          <cell r="E1824" t="str">
            <v>ASSY.SPARE WHEEL CARRIER</v>
          </cell>
          <cell r="F1824">
            <v>985.59</v>
          </cell>
        </row>
        <row r="1825">
          <cell r="D1825">
            <v>278346200103</v>
          </cell>
          <cell r="E1825" t="str">
            <v>ASSY.COLUMN WITHOUT STEERING WHEEL</v>
          </cell>
          <cell r="F1825">
            <v>864.61</v>
          </cell>
        </row>
        <row r="1826">
          <cell r="D1826">
            <v>282146200122</v>
          </cell>
          <cell r="E1826" t="str">
            <v>BRACKET ASSY,STG GEAR BOX MTG</v>
          </cell>
          <cell r="F1826">
            <v>961.87</v>
          </cell>
        </row>
        <row r="1827">
          <cell r="D1827">
            <v>284554600179</v>
          </cell>
          <cell r="E1827" t="str">
            <v>ASSY DIAGNOSTIC CONNECTOR PARKING BKT</v>
          </cell>
          <cell r="F1827">
            <v>4.83</v>
          </cell>
        </row>
        <row r="1828">
          <cell r="D1828">
            <v>502360100171</v>
          </cell>
          <cell r="E1828" t="str">
            <v>DRIVER STATION ASSY WITH CED COATING</v>
          </cell>
          <cell r="F1828">
            <v>21503.06</v>
          </cell>
        </row>
        <row r="1829">
          <cell r="D1829">
            <v>502380103319</v>
          </cell>
          <cell r="E1829" t="str">
            <v>L-BRACKET,CABLE SUPPORT</v>
          </cell>
          <cell r="F1829">
            <v>7.69</v>
          </cell>
        </row>
        <row r="1830">
          <cell r="D1830">
            <v>511747608202</v>
          </cell>
          <cell r="E1830" t="str">
            <v>COVER</v>
          </cell>
          <cell r="F1830">
            <v>35.15</v>
          </cell>
        </row>
        <row r="1831">
          <cell r="D1831">
            <v>550740300111</v>
          </cell>
          <cell r="E1831" t="str">
            <v>SPARE WHEEL CARRIER ASSY.</v>
          </cell>
          <cell r="F1831">
            <v>1356.31</v>
          </cell>
        </row>
        <row r="1832">
          <cell r="D1832">
            <v>550743708204</v>
          </cell>
          <cell r="E1832" t="str">
            <v>BRACKET QUICK RELEASE VALVE MTG</v>
          </cell>
          <cell r="F1832">
            <v>23.61</v>
          </cell>
        </row>
        <row r="1833">
          <cell r="D1833">
            <v>550743800103</v>
          </cell>
          <cell r="E1833" t="str">
            <v>ASSY FRT HOSE MTG BKT WT WIRE SUPPORT</v>
          </cell>
          <cell r="F1833">
            <v>33.28</v>
          </cell>
        </row>
        <row r="1834">
          <cell r="D1834">
            <v>550743903302</v>
          </cell>
          <cell r="E1834" t="str">
            <v>BRACKET</v>
          </cell>
          <cell r="F1834">
            <v>67.91</v>
          </cell>
        </row>
        <row r="1835">
          <cell r="D1835">
            <v>550749103324</v>
          </cell>
          <cell r="E1835" t="str">
            <v>HANGER BRACKET</v>
          </cell>
          <cell r="F1835">
            <v>18.93</v>
          </cell>
        </row>
        <row r="1836">
          <cell r="D1836">
            <v>550754500195</v>
          </cell>
          <cell r="E1836" t="str">
            <v>BRACKET ASSY,BATTERY CUT OFF SWITCH MTG</v>
          </cell>
          <cell r="F1836">
            <v>113.99</v>
          </cell>
        </row>
        <row r="1837">
          <cell r="D1837">
            <v>550840300106</v>
          </cell>
          <cell r="E1837" t="str">
            <v>SPARE WHEEL CARRIER ASSY</v>
          </cell>
          <cell r="F1837">
            <v>1297.95</v>
          </cell>
        </row>
        <row r="1838">
          <cell r="D1838">
            <v>552747100103</v>
          </cell>
          <cell r="E1838" t="str">
            <v>BRACKET ASSY,FUEL FILTER MTG</v>
          </cell>
          <cell r="F1838">
            <v>137.28</v>
          </cell>
        </row>
        <row r="1839">
          <cell r="D1839">
            <v>552941108201</v>
          </cell>
          <cell r="E1839" t="str">
            <v>SUPPORT,PROPELLER SHAFT GUARD</v>
          </cell>
          <cell r="F1839">
            <v>161.44</v>
          </cell>
        </row>
        <row r="1840">
          <cell r="D1840">
            <v>553043703302</v>
          </cell>
          <cell r="E1840" t="str">
            <v>BRACKET,MODULATOR VALVE MTG</v>
          </cell>
          <cell r="F1840">
            <v>28.83</v>
          </cell>
        </row>
        <row r="1841">
          <cell r="D1841">
            <v>553224108205</v>
          </cell>
          <cell r="E1841" t="str">
            <v>COVER PLATE</v>
          </cell>
          <cell r="F1841">
            <v>16.600000000000001</v>
          </cell>
        </row>
        <row r="1842">
          <cell r="D1842">
            <v>553224108208</v>
          </cell>
          <cell r="E1842" t="str">
            <v>COVER PLATE</v>
          </cell>
          <cell r="F1842">
            <v>16.63</v>
          </cell>
        </row>
        <row r="1843">
          <cell r="D1843">
            <v>553241108201</v>
          </cell>
          <cell r="E1843" t="str">
            <v>GUARD,PROPELLER SHAFT</v>
          </cell>
          <cell r="F1843">
            <v>48.12</v>
          </cell>
        </row>
        <row r="1844">
          <cell r="D1844">
            <v>553249200154</v>
          </cell>
          <cell r="E1844" t="str">
            <v>BRACKET ASSY</v>
          </cell>
          <cell r="F1844">
            <v>77.97</v>
          </cell>
        </row>
        <row r="1845">
          <cell r="D1845">
            <v>570650103366</v>
          </cell>
          <cell r="E1845" t="str">
            <v>SUPPORT BRACKET</v>
          </cell>
          <cell r="F1845">
            <v>110.3</v>
          </cell>
        </row>
        <row r="1846">
          <cell r="D1846">
            <v>288546803310</v>
          </cell>
          <cell r="E1846" t="str">
            <v>BRACKET,STG PIPE MTG</v>
          </cell>
          <cell r="F1846">
            <v>13.87</v>
          </cell>
        </row>
        <row r="1847">
          <cell r="D1847">
            <v>288546803328</v>
          </cell>
          <cell r="E1847" t="str">
            <v>BRACKET STG PIPE MTG</v>
          </cell>
          <cell r="F1847">
            <v>20</v>
          </cell>
        </row>
        <row r="1848">
          <cell r="D1848">
            <v>550732400125</v>
          </cell>
          <cell r="E1848" t="str">
            <v>ASSY.SHACKLE WITH RUBBER BUSH</v>
          </cell>
          <cell r="F1848">
            <v>515.79999999999995</v>
          </cell>
        </row>
        <row r="1849">
          <cell r="D1849">
            <v>570914110245</v>
          </cell>
          <cell r="E1849" t="str">
            <v>BRACKET ASSY</v>
          </cell>
          <cell r="F1849">
            <v>56.24</v>
          </cell>
        </row>
        <row r="1850">
          <cell r="D1850">
            <v>252750108266</v>
          </cell>
          <cell r="E1850" t="str">
            <v>BRACKET:FILLER PIPE MOUNTING:497 IV</v>
          </cell>
          <cell r="F1850">
            <v>20.149999999999999</v>
          </cell>
        </row>
        <row r="1851">
          <cell r="D1851">
            <v>253450108212</v>
          </cell>
          <cell r="E1851" t="str">
            <v>SUPPORT PLATE (FOR NOLOSS TANK)LP407</v>
          </cell>
          <cell r="F1851">
            <v>13.81</v>
          </cell>
        </row>
        <row r="1852">
          <cell r="D1852">
            <v>257640300111</v>
          </cell>
          <cell r="E1852" t="str">
            <v>ASSY SPARE WHEEL CARRIER</v>
          </cell>
          <cell r="F1852">
            <v>1646.47</v>
          </cell>
        </row>
        <row r="1853">
          <cell r="D1853">
            <v>265124208204</v>
          </cell>
          <cell r="E1853" t="str">
            <v>OIL BAFFLE</v>
          </cell>
          <cell r="F1853">
            <v>11.55</v>
          </cell>
        </row>
        <row r="1854">
          <cell r="D1854">
            <v>501746803302</v>
          </cell>
          <cell r="E1854" t="str">
            <v>BRKT-STRG PIPE MTG</v>
          </cell>
          <cell r="F1854">
            <v>81.36</v>
          </cell>
        </row>
        <row r="1855">
          <cell r="D1855">
            <v>550654608260</v>
          </cell>
          <cell r="E1855" t="str">
            <v>BRACKET ON CROSS MEMBER FOR WH MTG</v>
          </cell>
          <cell r="F1855">
            <v>2.27</v>
          </cell>
        </row>
        <row r="1856">
          <cell r="D1856">
            <v>278603114701</v>
          </cell>
          <cell r="E1856" t="str">
            <v>BOTTOM COVER (FLYWHEEL HOUSING)</v>
          </cell>
          <cell r="F1856">
            <v>9.65</v>
          </cell>
        </row>
        <row r="1857">
          <cell r="D1857">
            <v>282140300108</v>
          </cell>
          <cell r="E1857" t="str">
            <v>ASSY.SPARE WHEEL CARRIER</v>
          </cell>
          <cell r="F1857">
            <v>982.8</v>
          </cell>
        </row>
        <row r="1858">
          <cell r="D1858">
            <v>550749200119</v>
          </cell>
          <cell r="E1858" t="str">
            <v>ASSEMBLY SUPPORT BRACKET</v>
          </cell>
          <cell r="F1858">
            <v>46.28</v>
          </cell>
        </row>
        <row r="1859">
          <cell r="D1859">
            <v>418320153303</v>
          </cell>
          <cell r="E1859" t="str">
            <v>Z BKT (HOSE CLAMPING)</v>
          </cell>
          <cell r="F1859">
            <v>35.950000000000003</v>
          </cell>
        </row>
        <row r="1860">
          <cell r="D1860">
            <v>550654608281</v>
          </cell>
          <cell r="E1860" t="str">
            <v>BRACKET, GB INLINE CONNECTOR MTG</v>
          </cell>
          <cell r="F1860">
            <v>1.79</v>
          </cell>
        </row>
        <row r="1861">
          <cell r="D1861">
            <v>264229108224</v>
          </cell>
          <cell r="E1861" t="str">
            <v>BRACKET,BUNDY TUBE MTG</v>
          </cell>
          <cell r="F1861">
            <v>17.579999999999998</v>
          </cell>
        </row>
        <row r="1862">
          <cell r="D1862">
            <v>264340308201</v>
          </cell>
          <cell r="E1862" t="str">
            <v>REINFORCEMENT</v>
          </cell>
          <cell r="F1862">
            <v>29.49</v>
          </cell>
        </row>
        <row r="1863">
          <cell r="D1863">
            <v>500426808202</v>
          </cell>
          <cell r="E1863" t="str">
            <v>L-BRACKET</v>
          </cell>
          <cell r="F1863">
            <v>20.95</v>
          </cell>
        </row>
        <row r="1864">
          <cell r="D1864">
            <v>3125800085</v>
          </cell>
          <cell r="E1864" t="str">
            <v>ASSY ADJUSTING FORK- FUEL INJECTION PUMP</v>
          </cell>
          <cell r="F1864">
            <v>34.47</v>
          </cell>
        </row>
        <row r="1865">
          <cell r="D1865">
            <v>517180553346</v>
          </cell>
          <cell r="E1865" t="str">
            <v>CHANNEL</v>
          </cell>
          <cell r="F1865">
            <v>68.61</v>
          </cell>
        </row>
        <row r="1866">
          <cell r="D1866">
            <v>517183753327</v>
          </cell>
          <cell r="E1866" t="str">
            <v>BRACKET</v>
          </cell>
          <cell r="F1866">
            <v>137.04</v>
          </cell>
        </row>
        <row r="1867">
          <cell r="D1867">
            <v>517183753329</v>
          </cell>
          <cell r="E1867" t="str">
            <v>BRACKET</v>
          </cell>
          <cell r="F1867">
            <v>137.04</v>
          </cell>
        </row>
        <row r="1868">
          <cell r="D1868">
            <v>502380103306</v>
          </cell>
          <cell r="E1868" t="str">
            <v>L-BRACKET,CABLE SUPPORT</v>
          </cell>
          <cell r="F1868">
            <v>10.17</v>
          </cell>
        </row>
        <row r="1869">
          <cell r="D1869">
            <v>517180903370</v>
          </cell>
          <cell r="E1869" t="str">
            <v>BRACKET</v>
          </cell>
          <cell r="F1869">
            <v>430.62</v>
          </cell>
        </row>
        <row r="1870">
          <cell r="D1870">
            <v>517132400114</v>
          </cell>
          <cell r="E1870" t="str">
            <v>BRACKET ASSY,BUMP STOPPER</v>
          </cell>
          <cell r="F1870">
            <v>178.3</v>
          </cell>
        </row>
        <row r="1871">
          <cell r="D1871">
            <v>517180110204</v>
          </cell>
          <cell r="E1871" t="str">
            <v>BRACKET ASSY,CHARGER SOCKET</v>
          </cell>
          <cell r="F1871">
            <v>437.6</v>
          </cell>
        </row>
        <row r="1872">
          <cell r="D1872">
            <v>517180900138</v>
          </cell>
          <cell r="E1872" t="str">
            <v>BRACKET ASSY</v>
          </cell>
          <cell r="F1872">
            <v>154.62</v>
          </cell>
        </row>
        <row r="1873">
          <cell r="D1873">
            <v>517143703319</v>
          </cell>
          <cell r="E1873" t="str">
            <v>AIR DRYER ASSY WITH MTG BKT</v>
          </cell>
          <cell r="F1873">
            <v>79.53</v>
          </cell>
        </row>
        <row r="1874">
          <cell r="D1874">
            <v>517183750124</v>
          </cell>
          <cell r="E1874" t="str">
            <v>CLAMP ASSY</v>
          </cell>
          <cell r="F1874">
            <v>25.25</v>
          </cell>
        </row>
        <row r="1875">
          <cell r="D1875">
            <v>284931700132</v>
          </cell>
          <cell r="E1875" t="str">
            <v>ASSY FUPD CROSS BEAM</v>
          </cell>
          <cell r="F1875">
            <v>2595.31</v>
          </cell>
        </row>
        <row r="1876">
          <cell r="D1876">
            <v>552730100103</v>
          </cell>
          <cell r="E1876" t="str">
            <v>ASSY. PEDAL WITH ACC. PEDAL</v>
          </cell>
          <cell r="F1876">
            <v>123.36</v>
          </cell>
        </row>
        <row r="1877">
          <cell r="D1877">
            <v>517183750113</v>
          </cell>
          <cell r="E1877" t="str">
            <v>BRACKET ASSY,COMPRESSOR MTG</v>
          </cell>
          <cell r="F1877">
            <v>223.46</v>
          </cell>
        </row>
        <row r="1878">
          <cell r="D1878">
            <v>517131540121</v>
          </cell>
          <cell r="E1878" t="str">
            <v>BRACKET ASSY,CRADLE MTG</v>
          </cell>
          <cell r="F1878">
            <v>309.51</v>
          </cell>
        </row>
        <row r="1879">
          <cell r="D1879">
            <v>585888200243</v>
          </cell>
          <cell r="E1879" t="str">
            <v>PIPE ASSY,REAR FENDER MTG,LH</v>
          </cell>
          <cell r="F1879">
            <v>406.52</v>
          </cell>
        </row>
        <row r="1880">
          <cell r="D1880">
            <v>585888200244</v>
          </cell>
          <cell r="E1880" t="str">
            <v>PIPE ASSY,REAR FEDNER MTG,RH</v>
          </cell>
          <cell r="F1880">
            <v>305.83</v>
          </cell>
        </row>
        <row r="1881">
          <cell r="D1881">
            <v>585888200245</v>
          </cell>
          <cell r="E1881" t="str">
            <v>PIPE ASSY,REAR FENDER MTG,LH</v>
          </cell>
          <cell r="F1881">
            <v>342.66</v>
          </cell>
        </row>
        <row r="1882">
          <cell r="D1882">
            <v>585888200246</v>
          </cell>
          <cell r="E1882" t="str">
            <v>PIPE ASSY,REAR FENDER MTG,RH</v>
          </cell>
          <cell r="F1882">
            <v>342.66</v>
          </cell>
        </row>
        <row r="1883">
          <cell r="D1883">
            <v>282231700121</v>
          </cell>
          <cell r="E1883" t="str">
            <v>BRACKET ASSY,RUPD MTG,LH</v>
          </cell>
          <cell r="F1883">
            <v>162.53</v>
          </cell>
        </row>
        <row r="1884">
          <cell r="D1884">
            <v>282231700120</v>
          </cell>
          <cell r="E1884" t="str">
            <v>BRACKET ASSY,RUPD MTG,RH</v>
          </cell>
          <cell r="F1884">
            <v>162.53</v>
          </cell>
        </row>
        <row r="1885">
          <cell r="D1885">
            <v>207181808201</v>
          </cell>
          <cell r="E1885" t="str">
            <v>RADIATOR GRILL</v>
          </cell>
          <cell r="F1885">
            <v>240.24</v>
          </cell>
        </row>
        <row r="1886">
          <cell r="D1886">
            <v>517180900136</v>
          </cell>
          <cell r="E1886" t="str">
            <v>BRACKET ASSY</v>
          </cell>
          <cell r="F1886">
            <v>415.33</v>
          </cell>
        </row>
        <row r="1887">
          <cell r="D1887">
            <v>517180110222</v>
          </cell>
          <cell r="E1887" t="str">
            <v>L-BRACKET,CABLE SUPPORT</v>
          </cell>
          <cell r="F1887">
            <v>7.63</v>
          </cell>
        </row>
        <row r="1888">
          <cell r="D1888">
            <v>517180110228</v>
          </cell>
          <cell r="E1888" t="str">
            <v>BRACKET,CABLE SUPPORT</v>
          </cell>
          <cell r="F1888">
            <v>346.69</v>
          </cell>
        </row>
        <row r="1889">
          <cell r="D1889">
            <v>517180110229</v>
          </cell>
          <cell r="E1889" t="str">
            <v>BRACKET,CABLE SUPPORT</v>
          </cell>
          <cell r="F1889">
            <v>347.84</v>
          </cell>
        </row>
        <row r="1890">
          <cell r="D1890">
            <v>517170100164</v>
          </cell>
          <cell r="E1890" t="str">
            <v>SUPD ASSY</v>
          </cell>
          <cell r="F1890">
            <v>671.37</v>
          </cell>
        </row>
        <row r="1891">
          <cell r="D1891">
            <v>517170100174</v>
          </cell>
          <cell r="E1891" t="str">
            <v>SUPD ASSY</v>
          </cell>
          <cell r="F1891">
            <v>255.65</v>
          </cell>
        </row>
        <row r="1892">
          <cell r="D1892">
            <v>517170100185</v>
          </cell>
          <cell r="E1892" t="str">
            <v>SUPD ASSY</v>
          </cell>
          <cell r="F1892">
            <v>678.41</v>
          </cell>
        </row>
        <row r="1893">
          <cell r="D1893">
            <v>517170100186</v>
          </cell>
          <cell r="E1893" t="str">
            <v>SUPD ASSY</v>
          </cell>
          <cell r="F1893">
            <v>680.08</v>
          </cell>
        </row>
        <row r="1894">
          <cell r="D1894">
            <v>517170100187</v>
          </cell>
          <cell r="E1894" t="str">
            <v>SUPD ASSY</v>
          </cell>
          <cell r="F1894">
            <v>480.24</v>
          </cell>
        </row>
        <row r="1895">
          <cell r="D1895">
            <v>517170100181</v>
          </cell>
          <cell r="E1895" t="str">
            <v>LEG ASSY,SUPD</v>
          </cell>
          <cell r="F1895">
            <v>629.79</v>
          </cell>
        </row>
        <row r="1896">
          <cell r="D1896">
            <v>517170100183</v>
          </cell>
          <cell r="E1896" t="str">
            <v>SUPD ASSY,LH</v>
          </cell>
          <cell r="F1896">
            <v>245.85</v>
          </cell>
        </row>
        <row r="1897">
          <cell r="D1897">
            <v>517170100170</v>
          </cell>
          <cell r="E1897" t="str">
            <v>SUPD ASSY</v>
          </cell>
          <cell r="F1897">
            <v>630.33000000000004</v>
          </cell>
        </row>
        <row r="1898">
          <cell r="D1898">
            <v>517170100169</v>
          </cell>
          <cell r="E1898" t="str">
            <v>SUPD ASSY</v>
          </cell>
          <cell r="F1898">
            <v>629.79</v>
          </cell>
        </row>
        <row r="1899">
          <cell r="D1899">
            <v>502380190163</v>
          </cell>
          <cell r="E1899" t="str">
            <v>BRACKET ASSY</v>
          </cell>
          <cell r="F1899">
            <v>384.2</v>
          </cell>
        </row>
        <row r="1900">
          <cell r="D1900">
            <v>517154700104</v>
          </cell>
          <cell r="E1900" t="str">
            <v>BRACKET ASSY,YAW RATE SENSOR MTG</v>
          </cell>
          <cell r="F1900">
            <v>109.4</v>
          </cell>
        </row>
        <row r="1901">
          <cell r="D1901">
            <v>502383753344</v>
          </cell>
          <cell r="E1901" t="str">
            <v>BRACKET</v>
          </cell>
          <cell r="F1901">
            <v>33.909999999999997</v>
          </cell>
        </row>
        <row r="1902">
          <cell r="D1902">
            <v>502383753343</v>
          </cell>
          <cell r="E1902" t="str">
            <v>BRACKET</v>
          </cell>
          <cell r="F1902">
            <v>50.21</v>
          </cell>
        </row>
        <row r="1903">
          <cell r="D1903">
            <v>517170100171</v>
          </cell>
          <cell r="E1903" t="str">
            <v>SUPD ASSY,LH</v>
          </cell>
          <cell r="F1903">
            <v>471.39</v>
          </cell>
        </row>
        <row r="1904">
          <cell r="D1904">
            <v>517170100163</v>
          </cell>
          <cell r="E1904" t="str">
            <v>SUPD ASSY</v>
          </cell>
          <cell r="F1904">
            <v>672.72</v>
          </cell>
        </row>
        <row r="1905">
          <cell r="D1905">
            <v>517170100182</v>
          </cell>
          <cell r="E1905" t="str">
            <v>LEG ASSY,SUPD</v>
          </cell>
          <cell r="F1905">
            <v>630.33000000000004</v>
          </cell>
        </row>
        <row r="1906">
          <cell r="D1906">
            <v>517170100178</v>
          </cell>
          <cell r="E1906" t="str">
            <v>SUPD ASSY</v>
          </cell>
          <cell r="F1906">
            <v>245.8</v>
          </cell>
        </row>
        <row r="1907">
          <cell r="D1907">
            <v>517170100177</v>
          </cell>
          <cell r="E1907" t="str">
            <v>SUPD ASSY</v>
          </cell>
          <cell r="F1907">
            <v>629.79</v>
          </cell>
        </row>
        <row r="1908">
          <cell r="D1908">
            <v>517170100176</v>
          </cell>
          <cell r="E1908" t="str">
            <v>SUPD ASSY</v>
          </cell>
          <cell r="F1908">
            <v>629.79</v>
          </cell>
        </row>
        <row r="1909">
          <cell r="D1909">
            <v>517170100165</v>
          </cell>
          <cell r="E1909" t="str">
            <v>SUPD ASSY</v>
          </cell>
          <cell r="F1909">
            <v>236.93</v>
          </cell>
        </row>
        <row r="1910">
          <cell r="D1910">
            <v>517143700173</v>
          </cell>
          <cell r="E1910" t="str">
            <v>BRACKET ASSY</v>
          </cell>
          <cell r="F1910">
            <v>28.67</v>
          </cell>
        </row>
        <row r="1911">
          <cell r="D1911">
            <v>517143100104</v>
          </cell>
          <cell r="E1911" t="str">
            <v>BRACKET ASSY,LCRV MTG</v>
          </cell>
          <cell r="F1911">
            <v>92.11</v>
          </cell>
        </row>
        <row r="1912">
          <cell r="D1912">
            <v>550754600184</v>
          </cell>
          <cell r="E1912" t="str">
            <v>BRACKET ASSY (CAB TILT SW)</v>
          </cell>
          <cell r="F1912">
            <v>11.42</v>
          </cell>
        </row>
        <row r="1913">
          <cell r="D1913">
            <v>222970228236</v>
          </cell>
          <cell r="E1913" t="str">
            <v>BRACKET</v>
          </cell>
          <cell r="F1913">
            <v>30.92</v>
          </cell>
        </row>
        <row r="1914">
          <cell r="D1914">
            <v>257442908203</v>
          </cell>
          <cell r="E1914" t="str">
            <v>BRACKET</v>
          </cell>
          <cell r="F1914">
            <v>7.15</v>
          </cell>
        </row>
        <row r="1915">
          <cell r="D1915">
            <v>517143803311</v>
          </cell>
          <cell r="E1915" t="str">
            <v>BRACKET,HOSE MTG,LH</v>
          </cell>
          <cell r="F1915">
            <v>15.56</v>
          </cell>
        </row>
        <row r="1916">
          <cell r="D1916">
            <v>517180900140</v>
          </cell>
          <cell r="E1916" t="str">
            <v>BRACKET ASSY</v>
          </cell>
          <cell r="F1916">
            <v>416.7</v>
          </cell>
        </row>
        <row r="1917">
          <cell r="D1917">
            <v>502380113313</v>
          </cell>
          <cell r="E1917" t="str">
            <v>L-BRACKET,CABLE SUPPORT</v>
          </cell>
          <cell r="F1917">
            <v>70.819999999999993</v>
          </cell>
        </row>
        <row r="1918">
          <cell r="D1918">
            <v>502380113312</v>
          </cell>
          <cell r="E1918" t="str">
            <v>L-BRACKET,CABLE SUPPORT</v>
          </cell>
          <cell r="F1918">
            <v>71.209999999999994</v>
          </cell>
        </row>
        <row r="1919">
          <cell r="D1919">
            <v>502380113311</v>
          </cell>
          <cell r="E1919" t="str">
            <v>L-BRACKET,CABLE SUPPORT</v>
          </cell>
          <cell r="F1919">
            <v>38.130000000000003</v>
          </cell>
        </row>
        <row r="1920">
          <cell r="D1920">
            <v>502360128279</v>
          </cell>
          <cell r="E1920" t="str">
            <v>COVER</v>
          </cell>
          <cell r="F1920">
            <v>219.04</v>
          </cell>
        </row>
        <row r="1921">
          <cell r="D1921">
            <v>502360128280</v>
          </cell>
          <cell r="E1921" t="str">
            <v>COVER PLATE,PANEL</v>
          </cell>
          <cell r="F1921">
            <v>544.12</v>
          </cell>
        </row>
        <row r="1922">
          <cell r="D1922">
            <v>502380923315</v>
          </cell>
          <cell r="E1922" t="str">
            <v>BRACKET</v>
          </cell>
          <cell r="F1922">
            <v>37.68</v>
          </cell>
        </row>
        <row r="1923">
          <cell r="D1923">
            <v>502380923372</v>
          </cell>
          <cell r="E1923" t="str">
            <v>BRACKET</v>
          </cell>
          <cell r="F1923">
            <v>53.19</v>
          </cell>
        </row>
        <row r="1924">
          <cell r="D1924">
            <v>502380923380</v>
          </cell>
          <cell r="E1924" t="str">
            <v>BRACKET</v>
          </cell>
          <cell r="F1924">
            <v>33.01</v>
          </cell>
        </row>
        <row r="1925">
          <cell r="D1925">
            <v>502380103331</v>
          </cell>
          <cell r="E1925" t="str">
            <v>L-BRACKET,CABLE SUPPORT</v>
          </cell>
          <cell r="F1925">
            <v>54.35</v>
          </cell>
        </row>
        <row r="1926">
          <cell r="D1926">
            <v>502380113310</v>
          </cell>
          <cell r="E1926" t="str">
            <v>L-BRACKET,CABLE SUPPORT</v>
          </cell>
          <cell r="F1926">
            <v>49</v>
          </cell>
        </row>
        <row r="1927">
          <cell r="D1927">
            <v>502380923328</v>
          </cell>
          <cell r="E1927" t="str">
            <v>BRACKET</v>
          </cell>
          <cell r="F1927">
            <v>61.65</v>
          </cell>
        </row>
        <row r="1928">
          <cell r="D1928">
            <v>502380923311</v>
          </cell>
          <cell r="E1928" t="str">
            <v>BRACKET</v>
          </cell>
          <cell r="F1928">
            <v>68.12</v>
          </cell>
        </row>
        <row r="1929">
          <cell r="D1929">
            <v>502380923310</v>
          </cell>
          <cell r="E1929" t="str">
            <v>BRACKET</v>
          </cell>
          <cell r="F1929">
            <v>49.63</v>
          </cell>
        </row>
        <row r="1930">
          <cell r="D1930">
            <v>502380923314</v>
          </cell>
          <cell r="E1930" t="str">
            <v>BRACKET</v>
          </cell>
          <cell r="F1930">
            <v>41.32</v>
          </cell>
        </row>
        <row r="1931">
          <cell r="D1931">
            <v>502380103327</v>
          </cell>
          <cell r="E1931" t="str">
            <v>L-BRACKET,CABLE SUPPORT</v>
          </cell>
          <cell r="F1931">
            <v>61.75</v>
          </cell>
        </row>
        <row r="1932">
          <cell r="D1932">
            <v>585889110211</v>
          </cell>
          <cell r="E1932" t="str">
            <v>CROSS TUBE ASSY</v>
          </cell>
          <cell r="F1932">
            <v>1936.13</v>
          </cell>
        </row>
        <row r="1933">
          <cell r="D1933">
            <v>554731700114</v>
          </cell>
          <cell r="E1933" t="str">
            <v>CROSS BEAM ASSY,FUPD</v>
          </cell>
          <cell r="F1933">
            <v>1745.02</v>
          </cell>
        </row>
        <row r="1934">
          <cell r="D1934">
            <v>585889100288</v>
          </cell>
          <cell r="E1934" t="str">
            <v>CROSS TUBE ASSY COMPLETE NRW</v>
          </cell>
          <cell r="F1934">
            <v>1809.11</v>
          </cell>
        </row>
        <row r="1935">
          <cell r="D1935">
            <v>517142700173</v>
          </cell>
          <cell r="E1935" t="str">
            <v>BRACKET ASSY,PARKING BRAKE</v>
          </cell>
          <cell r="F1935">
            <v>184.55</v>
          </cell>
        </row>
        <row r="1936">
          <cell r="D1936">
            <v>517143700171</v>
          </cell>
          <cell r="E1936" t="str">
            <v>BRACKET ASSY,VACUUM CONNECTION</v>
          </cell>
          <cell r="F1936">
            <v>110.21</v>
          </cell>
        </row>
        <row r="1937">
          <cell r="D1937">
            <v>502380923308</v>
          </cell>
          <cell r="E1937" t="str">
            <v>BRACKET</v>
          </cell>
          <cell r="F1937">
            <v>61.09</v>
          </cell>
        </row>
        <row r="1938">
          <cell r="D1938">
            <v>502380900302</v>
          </cell>
          <cell r="E1938" t="str">
            <v>BRACKET ASSY</v>
          </cell>
          <cell r="F1938">
            <v>43.97</v>
          </cell>
        </row>
        <row r="1939">
          <cell r="D1939">
            <v>502380900283</v>
          </cell>
          <cell r="E1939" t="str">
            <v>BRACKET ASSY,RADIATOR MTG</v>
          </cell>
          <cell r="F1939">
            <v>141.6</v>
          </cell>
        </row>
        <row r="1940">
          <cell r="D1940">
            <v>502380900279</v>
          </cell>
          <cell r="E1940" t="str">
            <v>BRACKET,RADIATOR MTG</v>
          </cell>
          <cell r="F1940">
            <v>116.58</v>
          </cell>
        </row>
        <row r="1941">
          <cell r="D1941">
            <v>502380900333</v>
          </cell>
          <cell r="E1941" t="str">
            <v>BRACKET ASSY</v>
          </cell>
          <cell r="F1941">
            <v>88.74</v>
          </cell>
        </row>
        <row r="1942">
          <cell r="D1942">
            <v>502380103329</v>
          </cell>
          <cell r="E1942" t="str">
            <v>BRACKET,HV CABLE SUPPORT</v>
          </cell>
          <cell r="F1942">
            <v>88.45</v>
          </cell>
        </row>
        <row r="1943">
          <cell r="D1943">
            <v>502389100101</v>
          </cell>
          <cell r="E1943" t="str">
            <v>SUPPORT ASSY,FRONT-RH</v>
          </cell>
          <cell r="F1943">
            <v>241.5</v>
          </cell>
        </row>
        <row r="1944">
          <cell r="D1944">
            <v>517142700111</v>
          </cell>
          <cell r="E1944" t="str">
            <v>LEVER ASSY</v>
          </cell>
          <cell r="F1944">
            <v>111.32</v>
          </cell>
        </row>
        <row r="1945">
          <cell r="D1945">
            <v>264249103311</v>
          </cell>
          <cell r="E1945" t="str">
            <v>L-BRACKET,SILENCER MTG</v>
          </cell>
          <cell r="F1945">
            <v>74.11</v>
          </cell>
        </row>
        <row r="1946">
          <cell r="D1946">
            <v>554789100103</v>
          </cell>
          <cell r="E1946" t="str">
            <v>SPACER PLATE ASSY</v>
          </cell>
          <cell r="F1946">
            <v>123.1</v>
          </cell>
        </row>
        <row r="1947">
          <cell r="D1947">
            <v>502380923329</v>
          </cell>
          <cell r="E1947" t="str">
            <v>BRACKET</v>
          </cell>
          <cell r="F1947">
            <v>45.03</v>
          </cell>
        </row>
        <row r="1948">
          <cell r="D1948">
            <v>554731700111</v>
          </cell>
          <cell r="E1948" t="str">
            <v>FUPD MTG,LH</v>
          </cell>
          <cell r="F1948">
            <v>454.2</v>
          </cell>
        </row>
        <row r="1949">
          <cell r="D1949">
            <v>585889106004</v>
          </cell>
          <cell r="E1949" t="str">
            <v>CONNECTING LINK</v>
          </cell>
          <cell r="F1949">
            <v>10.44</v>
          </cell>
        </row>
        <row r="1950">
          <cell r="D1950">
            <v>264215608202</v>
          </cell>
          <cell r="E1950" t="str">
            <v>CLIP_ENGINE</v>
          </cell>
          <cell r="F1950">
            <v>1.82</v>
          </cell>
        </row>
        <row r="1951">
          <cell r="D1951">
            <v>265231700113</v>
          </cell>
          <cell r="E1951" t="str">
            <v>RIB,RUPD BKT-TABLE DRG</v>
          </cell>
          <cell r="F1951">
            <v>913.11</v>
          </cell>
        </row>
        <row r="1952">
          <cell r="D1952">
            <v>215329100110</v>
          </cell>
          <cell r="E1952" t="str">
            <v>BRAKE PEDAL ASSY WITH BUSH</v>
          </cell>
          <cell r="F1952">
            <v>104.78</v>
          </cell>
        </row>
        <row r="1953">
          <cell r="D1953">
            <v>252701170283</v>
          </cell>
          <cell r="E1953" t="str">
            <v>ASSY BRACKET(FOR DIPSTIC MTG)</v>
          </cell>
          <cell r="F1953">
            <v>6.78</v>
          </cell>
        </row>
        <row r="1954">
          <cell r="D1954">
            <v>252701174232</v>
          </cell>
          <cell r="E1954" t="str">
            <v>CLAMP,DIPSTICK MTG</v>
          </cell>
          <cell r="F1954">
            <v>2.0099999999999998</v>
          </cell>
        </row>
        <row r="1955">
          <cell r="D1955">
            <v>252714603331</v>
          </cell>
          <cell r="E1955" t="str">
            <v>BRACKET (FOR IC PIPE SUPPORT)</v>
          </cell>
          <cell r="F1955">
            <v>50.37</v>
          </cell>
        </row>
        <row r="1956">
          <cell r="D1956">
            <v>252750008262</v>
          </cell>
          <cell r="E1956" t="str">
            <v>BRACKET (FOR RADIATOR MOUNTING)</v>
          </cell>
          <cell r="F1956">
            <v>55.52</v>
          </cell>
        </row>
        <row r="1957">
          <cell r="D1957">
            <v>252750104216</v>
          </cell>
          <cell r="E1957" t="str">
            <v>B TYPE CLAMP</v>
          </cell>
          <cell r="F1957">
            <v>4.4000000000000004</v>
          </cell>
        </row>
        <row r="1958">
          <cell r="D1958">
            <v>252750108264</v>
          </cell>
          <cell r="E1958" t="str">
            <v>SUPPORT PLATE (FOR COOLANT FILLING PIPE)</v>
          </cell>
          <cell r="F1958">
            <v>13.04</v>
          </cell>
        </row>
        <row r="1959">
          <cell r="D1959">
            <v>252750108271</v>
          </cell>
          <cell r="E1959" t="str">
            <v>SUPPORT BRACKET (FOR COOLANT PIPE)</v>
          </cell>
          <cell r="F1959">
            <v>9</v>
          </cell>
        </row>
        <row r="1960">
          <cell r="D1960">
            <v>252750110298</v>
          </cell>
          <cell r="E1960" t="str">
            <v>ASSY BRACKET (FOR PIPE SUPPORT)</v>
          </cell>
          <cell r="F1960">
            <v>13.49</v>
          </cell>
        </row>
        <row r="1961">
          <cell r="D1961">
            <v>259289100103</v>
          </cell>
          <cell r="E1961" t="str">
            <v>ASSY.BRACKET LH(COWL MTG REAR)</v>
          </cell>
          <cell r="F1961">
            <v>347.68</v>
          </cell>
        </row>
        <row r="1962">
          <cell r="D1962">
            <v>259289100104</v>
          </cell>
          <cell r="E1962" t="str">
            <v>ASSY.BRACKET-RH(COWL MTG. REAR)</v>
          </cell>
          <cell r="F1962">
            <v>347.68</v>
          </cell>
        </row>
        <row r="1963">
          <cell r="D1963">
            <v>264130108234</v>
          </cell>
          <cell r="E1963" t="str">
            <v>BRACKET,ACCELERATOR PEDAL MTG</v>
          </cell>
          <cell r="F1963">
            <v>59.68</v>
          </cell>
        </row>
        <row r="1964">
          <cell r="D1964">
            <v>264146200179</v>
          </cell>
          <cell r="E1964" t="str">
            <v>ASSY. STEERING GEAR BOX MTG.BKT (RHD)</v>
          </cell>
          <cell r="F1964">
            <v>872.96</v>
          </cell>
        </row>
        <row r="1965">
          <cell r="D1965">
            <v>264247608209</v>
          </cell>
          <cell r="E1965" t="str">
            <v>BRACKET,FUEL CLAMP</v>
          </cell>
          <cell r="F1965">
            <v>18.04</v>
          </cell>
        </row>
        <row r="1966">
          <cell r="D1966">
            <v>264249200110</v>
          </cell>
          <cell r="E1966" t="str">
            <v>BRACKET ASSY (NOISE SHIELD)</v>
          </cell>
          <cell r="F1966">
            <v>14.85</v>
          </cell>
        </row>
        <row r="1967">
          <cell r="D1967">
            <v>264249200116</v>
          </cell>
          <cell r="E1967" t="str">
            <v>BRACKET ASSY (NOISE SHIELD)</v>
          </cell>
          <cell r="F1967">
            <v>12.92</v>
          </cell>
        </row>
        <row r="1968">
          <cell r="D1968">
            <v>264249208221</v>
          </cell>
          <cell r="E1968" t="str">
            <v>BRACKET (NOISE SHIELD)</v>
          </cell>
          <cell r="F1968">
            <v>9.69</v>
          </cell>
        </row>
        <row r="1969">
          <cell r="D1969">
            <v>264254200140</v>
          </cell>
          <cell r="E1969" t="str">
            <v>BRACKET ASSY,FUSE BOX MTG</v>
          </cell>
          <cell r="F1969">
            <v>50.22</v>
          </cell>
        </row>
        <row r="1970">
          <cell r="D1970">
            <v>265132400183</v>
          </cell>
          <cell r="E1970" t="str">
            <v>ASSY.SHACKLE (REAR SPRING)</v>
          </cell>
          <cell r="F1970">
            <v>117.57</v>
          </cell>
        </row>
        <row r="1971">
          <cell r="D1971">
            <v>278509114201</v>
          </cell>
          <cell r="E1971" t="str">
            <v>CLAMP</v>
          </cell>
          <cell r="F1971">
            <v>5.36</v>
          </cell>
        </row>
        <row r="1972">
          <cell r="D1972">
            <v>280949208203</v>
          </cell>
          <cell r="E1972" t="str">
            <v>CLAMP (SILENCER MTG,)</v>
          </cell>
          <cell r="F1972">
            <v>38.51</v>
          </cell>
        </row>
        <row r="1973">
          <cell r="D1973">
            <v>282140300106</v>
          </cell>
          <cell r="E1973" t="str">
            <v>ASSY SPARE WHEEL CARRIER</v>
          </cell>
          <cell r="F1973">
            <v>944.07</v>
          </cell>
        </row>
        <row r="1974">
          <cell r="D1974">
            <v>282140300114</v>
          </cell>
          <cell r="E1974" t="str">
            <v>ASSY.SPARE WHEEL CARRIER</v>
          </cell>
          <cell r="F1974">
            <v>901.65</v>
          </cell>
        </row>
        <row r="1975">
          <cell r="D1975">
            <v>282147608215</v>
          </cell>
          <cell r="E1975" t="str">
            <v>BRACKET STRAINER MOUNTING</v>
          </cell>
          <cell r="F1975">
            <v>10.58</v>
          </cell>
        </row>
        <row r="1976">
          <cell r="D1976">
            <v>284643903308</v>
          </cell>
          <cell r="E1976" t="str">
            <v>STRAIGHT BRACKET</v>
          </cell>
          <cell r="F1976">
            <v>107.07</v>
          </cell>
        </row>
        <row r="1977">
          <cell r="D1977">
            <v>284931700118</v>
          </cell>
          <cell r="E1977" t="str">
            <v>FUPD BRACKET ASSY. COMPLETE - RH</v>
          </cell>
          <cell r="F1977">
            <v>1069.8599999999999</v>
          </cell>
        </row>
        <row r="1978">
          <cell r="D1978">
            <v>284931700119</v>
          </cell>
          <cell r="E1978" t="str">
            <v>FUPD BRACKET ASSY COMPLETE - LH</v>
          </cell>
          <cell r="F1978">
            <v>1069.8599999999999</v>
          </cell>
        </row>
        <row r="1979">
          <cell r="D1979">
            <v>550654608275</v>
          </cell>
          <cell r="E1979" t="str">
            <v>BRACKET,CHASSIS WIRING HARNESS MTG</v>
          </cell>
          <cell r="F1979">
            <v>23.74</v>
          </cell>
        </row>
        <row r="1980">
          <cell r="D1980">
            <v>550749103335</v>
          </cell>
          <cell r="E1980" t="str">
            <v>FRONT C/S MEMBER MOUNTING BRACKET</v>
          </cell>
          <cell r="F1980">
            <v>30.05</v>
          </cell>
        </row>
        <row r="1981">
          <cell r="D1981">
            <v>550749103336</v>
          </cell>
          <cell r="E1981" t="str">
            <v>MTG BRACKET FOR NOISE SHIELD</v>
          </cell>
          <cell r="F1981">
            <v>26.92</v>
          </cell>
        </row>
        <row r="1982">
          <cell r="D1982">
            <v>550749103339</v>
          </cell>
          <cell r="E1982" t="str">
            <v>MTG BRACKET FOR NOISE SHIELD</v>
          </cell>
          <cell r="F1982">
            <v>44.36</v>
          </cell>
        </row>
        <row r="1983">
          <cell r="D1983">
            <v>550754200177</v>
          </cell>
          <cell r="E1983" t="str">
            <v>BRACKET ASSY(GRID HEATER MTG ON CHASSIS</v>
          </cell>
          <cell r="F1983">
            <v>21.59</v>
          </cell>
        </row>
        <row r="1984">
          <cell r="D1984">
            <v>550760123301</v>
          </cell>
          <cell r="E1984" t="str">
            <v>BRACKET SLU SHIFTER MTG</v>
          </cell>
          <cell r="F1984">
            <v>232.95</v>
          </cell>
        </row>
        <row r="1985">
          <cell r="D1985">
            <v>552954603301</v>
          </cell>
          <cell r="E1985" t="str">
            <v>BRACKET</v>
          </cell>
          <cell r="F1985">
            <v>22.85</v>
          </cell>
        </row>
        <row r="1986">
          <cell r="D1986">
            <v>570601170127</v>
          </cell>
          <cell r="E1986" t="str">
            <v>DIPSTICK MTNG BKT ASSY(BUS)</v>
          </cell>
          <cell r="F1986">
            <v>11.35</v>
          </cell>
        </row>
        <row r="1987">
          <cell r="D1987">
            <v>570650103329</v>
          </cell>
          <cell r="E1987" t="str">
            <v>BRACKET,RADIATOR BOTTOM SUPPORT</v>
          </cell>
          <cell r="F1987">
            <v>113.78</v>
          </cell>
        </row>
        <row r="1988">
          <cell r="D1988">
            <v>517188100106</v>
          </cell>
          <cell r="E1988" t="str">
            <v>MUD LINER EXTENSION BRACKET ASSY,RH</v>
          </cell>
          <cell r="F1988">
            <v>15.33</v>
          </cell>
        </row>
        <row r="1989">
          <cell r="D1989">
            <v>517188100105</v>
          </cell>
          <cell r="E1989" t="str">
            <v>MUD LINER EXTENSION BRACKET ASSY,LH</v>
          </cell>
          <cell r="F1989">
            <v>15.33</v>
          </cell>
        </row>
        <row r="1990">
          <cell r="D1990">
            <v>557683750102</v>
          </cell>
          <cell r="E1990" t="str">
            <v>BRACKET ASSY,COMPRESSOR MTG</v>
          </cell>
          <cell r="F1990">
            <v>276.62</v>
          </cell>
        </row>
        <row r="1991">
          <cell r="D1991">
            <v>502331208288</v>
          </cell>
          <cell r="E1991" t="str">
            <v>SPACER,CRADLE ASSY</v>
          </cell>
          <cell r="F1991">
            <v>28.5</v>
          </cell>
        </row>
        <row r="1992">
          <cell r="D1992">
            <v>557683750102</v>
          </cell>
          <cell r="E1992" t="str">
            <v>BRACKET ASSY,COMPRESSOR MTG</v>
          </cell>
          <cell r="F1992">
            <v>276.62</v>
          </cell>
        </row>
        <row r="1993">
          <cell r="D1993">
            <v>550632308208</v>
          </cell>
          <cell r="E1993" t="str">
            <v>BRACKET,SHOCK ABSORBER MTG,LOWER-LH</v>
          </cell>
          <cell r="F1993">
            <v>40.85</v>
          </cell>
        </row>
        <row r="1994">
          <cell r="D1994">
            <v>550632308209</v>
          </cell>
          <cell r="E1994" t="str">
            <v>BRACKET,SHOCK ABSORBER MTG,LOWER-RH</v>
          </cell>
          <cell r="F1994">
            <v>40.85</v>
          </cell>
        </row>
        <row r="1995">
          <cell r="D1995">
            <v>557680500103</v>
          </cell>
          <cell r="E1995" t="str">
            <v>BRACKET ASSY,TRACTION INVERTER MTG</v>
          </cell>
          <cell r="F1995">
            <v>240.88</v>
          </cell>
        </row>
        <row r="1996">
          <cell r="D1996">
            <v>550754400202</v>
          </cell>
          <cell r="E1996" t="str">
            <v>BRACKET ASSY HEADLAMP MTG LH</v>
          </cell>
          <cell r="F1996">
            <v>7.46</v>
          </cell>
        </row>
        <row r="1997">
          <cell r="D1997">
            <v>550754400203</v>
          </cell>
          <cell r="E1997" t="str">
            <v>BRACKET ASSY HEADLAMP MTG RH</v>
          </cell>
          <cell r="F1997">
            <v>7.12</v>
          </cell>
        </row>
        <row r="1998">
          <cell r="D1998">
            <v>585889110136</v>
          </cell>
          <cell r="E1998" t="str">
            <v>BRACKET ASSY,UPPER</v>
          </cell>
          <cell r="F1998">
            <v>426.53</v>
          </cell>
        </row>
        <row r="1999">
          <cell r="D1999">
            <v>550731700123</v>
          </cell>
          <cell r="E1999" t="str">
            <v>FUPD MTG,RH</v>
          </cell>
          <cell r="F1999">
            <v>311.35000000000002</v>
          </cell>
        </row>
        <row r="2000">
          <cell r="D2000">
            <v>550731700124</v>
          </cell>
          <cell r="E2000" t="str">
            <v>FUPD MTG,LH</v>
          </cell>
          <cell r="F2000">
            <v>311.35000000000002</v>
          </cell>
        </row>
        <row r="2001">
          <cell r="D2001">
            <v>222970130169</v>
          </cell>
          <cell r="E2001" t="str">
            <v>SUPD ASSY</v>
          </cell>
          <cell r="F2001">
            <v>829.1</v>
          </cell>
        </row>
        <row r="2002">
          <cell r="D2002">
            <v>222970130149</v>
          </cell>
          <cell r="E2002" t="str">
            <v>SUPD ASSY,LH</v>
          </cell>
          <cell r="F2002">
            <v>1587.14</v>
          </cell>
        </row>
        <row r="2003">
          <cell r="D2003">
            <v>222970130150</v>
          </cell>
          <cell r="E2003" t="str">
            <v>SUPD ASSY,RH</v>
          </cell>
          <cell r="F2003">
            <v>1968.57</v>
          </cell>
        </row>
        <row r="2004">
          <cell r="D2004">
            <v>557688200105</v>
          </cell>
          <cell r="E2004" t="str">
            <v>BRACKET ASSY,REAR FENDER MTG,UPPER-LH</v>
          </cell>
          <cell r="F2004">
            <v>389.06</v>
          </cell>
        </row>
        <row r="2005">
          <cell r="D2005">
            <v>557688200106</v>
          </cell>
          <cell r="E2005" t="str">
            <v>BRACKET ASSY,REAR FENDER MTG,UPPER-RH</v>
          </cell>
          <cell r="F2005">
            <v>334.51</v>
          </cell>
        </row>
        <row r="2006">
          <cell r="D2006">
            <v>557680900104</v>
          </cell>
          <cell r="E2006" t="str">
            <v>BRACKET ASSY</v>
          </cell>
          <cell r="F2006">
            <v>125.39</v>
          </cell>
        </row>
        <row r="2007">
          <cell r="D2007">
            <v>557680900108</v>
          </cell>
          <cell r="E2007" t="str">
            <v>BRACKET ASSY</v>
          </cell>
          <cell r="F2007">
            <v>17.62</v>
          </cell>
        </row>
        <row r="2008">
          <cell r="D2008">
            <v>557680900107</v>
          </cell>
          <cell r="E2008" t="str">
            <v>BRACKET ASSY</v>
          </cell>
          <cell r="F2008">
            <v>59.19</v>
          </cell>
        </row>
        <row r="2009">
          <cell r="D2009">
            <v>557680900109</v>
          </cell>
          <cell r="E2009" t="str">
            <v>BRACKET ASSY</v>
          </cell>
          <cell r="F2009">
            <v>25.44</v>
          </cell>
        </row>
        <row r="2010">
          <cell r="D2010">
            <v>585888500232</v>
          </cell>
          <cell r="E2010" t="str">
            <v>BRACKET ASSY,BUMPER MTG,RH</v>
          </cell>
          <cell r="F2010">
            <v>44.89</v>
          </cell>
        </row>
        <row r="2011">
          <cell r="D2011">
            <v>550749210156</v>
          </cell>
          <cell r="E2011" t="str">
            <v>SPACER,UREA TANK MTG BKT</v>
          </cell>
          <cell r="F2011">
            <v>234.63</v>
          </cell>
        </row>
        <row r="2012">
          <cell r="D2012">
            <v>517143700174</v>
          </cell>
          <cell r="E2012" t="str">
            <v>BRACKET,VACUUM TANK MTG</v>
          </cell>
          <cell r="F2012">
            <v>28.87</v>
          </cell>
        </row>
        <row r="2013">
          <cell r="D2013">
            <v>570650110162</v>
          </cell>
          <cell r="E2013" t="str">
            <v>BRACKET ASSY</v>
          </cell>
          <cell r="F2013">
            <v>24.71</v>
          </cell>
        </row>
        <row r="2014">
          <cell r="D2014">
            <v>554789100105</v>
          </cell>
          <cell r="E2014" t="str">
            <v>BRACKET ASSY,HYDRAULIC PUMP MTG</v>
          </cell>
          <cell r="F2014">
            <v>84.91</v>
          </cell>
        </row>
        <row r="2015">
          <cell r="D2015">
            <v>585888500231</v>
          </cell>
          <cell r="E2015" t="str">
            <v>BRACKET ASSY,BUMPER MTG,LH</v>
          </cell>
          <cell r="F2015">
            <v>44.89</v>
          </cell>
        </row>
        <row r="2016">
          <cell r="D2016">
            <v>502380923366</v>
          </cell>
          <cell r="E2016" t="str">
            <v>BRACKET</v>
          </cell>
          <cell r="F2016">
            <v>73.09</v>
          </cell>
        </row>
        <row r="2017">
          <cell r="D2017">
            <v>550749210155</v>
          </cell>
          <cell r="E2017" t="str">
            <v>SPACER,UREA TANK MTG BKT</v>
          </cell>
          <cell r="F2017">
            <v>234.63</v>
          </cell>
        </row>
        <row r="2018">
          <cell r="D2018">
            <v>551541300104</v>
          </cell>
          <cell r="E2018" t="str">
            <v>BRACKET ASSY,CENTER BRG MTG</v>
          </cell>
          <cell r="F2018">
            <v>388.37</v>
          </cell>
        </row>
        <row r="2019">
          <cell r="D2019">
            <v>551541300105</v>
          </cell>
          <cell r="E2019" t="str">
            <v>BRACKET ASSY,CENTER BRG MTG</v>
          </cell>
          <cell r="F2019">
            <v>372.82</v>
          </cell>
        </row>
        <row r="2020">
          <cell r="D2020">
            <v>551541300106</v>
          </cell>
          <cell r="E2020" t="str">
            <v>BRACKET ASSY,CENTER BRG MTG</v>
          </cell>
          <cell r="F2020">
            <v>488.62</v>
          </cell>
        </row>
        <row r="2021">
          <cell r="D2021">
            <v>570650103397</v>
          </cell>
          <cell r="E2021" t="str">
            <v>SUPPORT BRACKET</v>
          </cell>
          <cell r="F2021">
            <v>127.82</v>
          </cell>
        </row>
        <row r="2022">
          <cell r="D2022">
            <v>557631700109</v>
          </cell>
          <cell r="E2022" t="str">
            <v>BEAM ASSY,RUPD</v>
          </cell>
          <cell r="F2022">
            <v>1088.0899999999999</v>
          </cell>
        </row>
        <row r="2023">
          <cell r="D2023">
            <v>502380103400</v>
          </cell>
          <cell r="E2023" t="str">
            <v>Z-BRACKET,CABLE SUPPORT</v>
          </cell>
          <cell r="F2023">
            <v>26.92</v>
          </cell>
        </row>
        <row r="2024">
          <cell r="D2024">
            <v>517143703364</v>
          </cell>
          <cell r="E2024" t="str">
            <v>BRACKET</v>
          </cell>
          <cell r="F2024">
            <v>9.81</v>
          </cell>
        </row>
        <row r="2025">
          <cell r="D2025">
            <v>557688200101</v>
          </cell>
          <cell r="E2025" t="str">
            <v>PIPE ASSY,REAR FENDER MTG,LH</v>
          </cell>
          <cell r="F2025">
            <v>382.28</v>
          </cell>
        </row>
        <row r="2026">
          <cell r="D2026">
            <v>557688200102</v>
          </cell>
          <cell r="E2026" t="str">
            <v>PIPE ASSY,REAR FEDNER MTG,RH</v>
          </cell>
          <cell r="F2026">
            <v>382.28</v>
          </cell>
        </row>
        <row r="2027">
          <cell r="D2027">
            <v>557654633304</v>
          </cell>
          <cell r="E2027" t="str">
            <v>BRACKET</v>
          </cell>
          <cell r="F2027">
            <v>3.87</v>
          </cell>
        </row>
        <row r="2028">
          <cell r="D2028">
            <v>557654633303</v>
          </cell>
          <cell r="E2028" t="str">
            <v>BRACKET,BMS W/H SUPPORT,TRAY MTG</v>
          </cell>
          <cell r="F2028">
            <v>10.48</v>
          </cell>
        </row>
        <row r="2029">
          <cell r="D2029">
            <v>517180103337</v>
          </cell>
          <cell r="E2029" t="str">
            <v>Z-BRACKET,CABLE SUPPORT</v>
          </cell>
          <cell r="F2029">
            <v>10.199999999999999</v>
          </cell>
        </row>
        <row r="2030">
          <cell r="D2030">
            <v>517180900111</v>
          </cell>
          <cell r="E2030" t="str">
            <v>517180900111</v>
          </cell>
          <cell r="F2030">
            <v>16.91</v>
          </cell>
        </row>
        <row r="2031">
          <cell r="D2031">
            <v>517180103346</v>
          </cell>
          <cell r="E2031" t="str">
            <v>517180103346</v>
          </cell>
          <cell r="F2031">
            <v>11.01</v>
          </cell>
        </row>
        <row r="2032">
          <cell r="D2032">
            <v>585898408293</v>
          </cell>
          <cell r="E2032" t="str">
            <v>BACK COVER</v>
          </cell>
          <cell r="F2032">
            <v>52.98</v>
          </cell>
        </row>
        <row r="2033">
          <cell r="D2033">
            <v>585888500229</v>
          </cell>
          <cell r="E2033" t="str">
            <v>BRACKET,FOOT STEP MTG SUPPORT,LH</v>
          </cell>
          <cell r="F2033">
            <v>120.24</v>
          </cell>
        </row>
        <row r="2034">
          <cell r="D2034">
            <v>585888500230</v>
          </cell>
          <cell r="E2034" t="str">
            <v>BRACKET,FOOT STEP MTG SUPPORT,RH</v>
          </cell>
          <cell r="F2034">
            <v>120.24</v>
          </cell>
        </row>
        <row r="2035">
          <cell r="D2035">
            <v>585888520138</v>
          </cell>
          <cell r="E2035" t="str">
            <v>BRACKET ASSY,BUMPER CHASSIS MTG</v>
          </cell>
          <cell r="F2035">
            <v>16.97</v>
          </cell>
        </row>
        <row r="2036">
          <cell r="D2036">
            <v>585889110126</v>
          </cell>
          <cell r="E2036" t="str">
            <v>CROSS TUBE ASSY</v>
          </cell>
          <cell r="F2036">
            <v>2355.59</v>
          </cell>
        </row>
        <row r="2037">
          <cell r="D2037" t="str">
            <v>52046017M10126</v>
          </cell>
          <cell r="E2037" t="str">
            <v>PANEL ASSY</v>
          </cell>
          <cell r="F2037">
            <v>708.28</v>
          </cell>
        </row>
        <row r="2038">
          <cell r="D2038" t="str">
            <v>52046017M10152</v>
          </cell>
          <cell r="E2038" t="str">
            <v>PANEL,TOP ASSY</v>
          </cell>
          <cell r="F2038">
            <v>1005.84</v>
          </cell>
        </row>
        <row r="2039">
          <cell r="D2039" t="str">
            <v>52046017M10154</v>
          </cell>
          <cell r="E2039" t="str">
            <v>PANEL,TOP ASSY</v>
          </cell>
          <cell r="F2039">
            <v>395.2</v>
          </cell>
        </row>
        <row r="2040">
          <cell r="D2040" t="str">
            <v>52046017M10165</v>
          </cell>
          <cell r="E2040" t="str">
            <v>COVER ASSY</v>
          </cell>
          <cell r="F2040">
            <v>808.14</v>
          </cell>
        </row>
        <row r="2041">
          <cell r="D2041">
            <v>264249103305</v>
          </cell>
          <cell r="E2041" t="str">
            <v>HANGER BRACKET</v>
          </cell>
          <cell r="F2041">
            <v>40.090000000000003</v>
          </cell>
        </row>
        <row r="2042">
          <cell r="D2042">
            <v>264249103308</v>
          </cell>
          <cell r="E2042" t="str">
            <v>BRACKET</v>
          </cell>
          <cell r="F2042">
            <v>39.4</v>
          </cell>
        </row>
        <row r="2043">
          <cell r="D2043">
            <v>264249200145</v>
          </cell>
          <cell r="E2043" t="str">
            <v>BRACKET ASSY</v>
          </cell>
          <cell r="F2043">
            <v>97.48</v>
          </cell>
        </row>
        <row r="2044">
          <cell r="D2044">
            <v>264249203313</v>
          </cell>
          <cell r="E2044" t="str">
            <v>L-BRACKET,EXHAUST PIPE MTG</v>
          </cell>
          <cell r="F2044">
            <v>153.47999999999999</v>
          </cell>
        </row>
        <row r="2045">
          <cell r="D2045">
            <v>264249200142</v>
          </cell>
          <cell r="E2045" t="str">
            <v>BRACKET ASSY</v>
          </cell>
          <cell r="F2045">
            <v>114.84</v>
          </cell>
        </row>
        <row r="2046">
          <cell r="D2046">
            <v>517180103345</v>
          </cell>
          <cell r="E2046" t="str">
            <v>Z-BRACKET,CABLE SUPPORT</v>
          </cell>
          <cell r="F2046">
            <v>17.559999999999999</v>
          </cell>
        </row>
        <row r="2047">
          <cell r="D2047">
            <v>585898400163</v>
          </cell>
          <cell r="E2047" t="str">
            <v>CHARGING PORT COVER ASSY</v>
          </cell>
          <cell r="F2047">
            <v>193.52</v>
          </cell>
        </row>
        <row r="2048">
          <cell r="D2048">
            <v>570650113306</v>
          </cell>
          <cell r="E2048" t="str">
            <v>570650113306</v>
          </cell>
          <cell r="F2048">
            <v>114.21</v>
          </cell>
        </row>
        <row r="2049">
          <cell r="D2049">
            <v>269942808207</v>
          </cell>
          <cell r="E2049" t="str">
            <v>CLAMPING PLATE</v>
          </cell>
          <cell r="F2049">
            <v>4.71</v>
          </cell>
        </row>
        <row r="2050">
          <cell r="D2050">
            <v>270546200103</v>
          </cell>
          <cell r="E2050" t="str">
            <v>ASSY STG GEAR BOX MTG BRACKET-RHD (ZF)</v>
          </cell>
          <cell r="F2050">
            <v>1081.5899999999999</v>
          </cell>
        </row>
        <row r="2051">
          <cell r="D2051">
            <v>550640300108</v>
          </cell>
          <cell r="E2051" t="str">
            <v>SPARE WHEEL CARRIER ASSY</v>
          </cell>
          <cell r="F2051">
            <v>2013.23</v>
          </cell>
        </row>
        <row r="2052">
          <cell r="D2052">
            <v>517180900136</v>
          </cell>
          <cell r="E2052" t="str">
            <v>BRACKET ASSY</v>
          </cell>
          <cell r="F2052">
            <v>1215.8499999999999</v>
          </cell>
        </row>
        <row r="2053">
          <cell r="D2053">
            <v>502380190163</v>
          </cell>
          <cell r="E2053" t="str">
            <v>BRACKET ASSY</v>
          </cell>
          <cell r="F2053">
            <v>4820.37</v>
          </cell>
        </row>
        <row r="2054">
          <cell r="D2054">
            <v>502383753344</v>
          </cell>
          <cell r="E2054" t="str">
            <v>BRACKET</v>
          </cell>
          <cell r="F2054">
            <v>783.83</v>
          </cell>
        </row>
        <row r="2055">
          <cell r="D2055">
            <v>502383753343</v>
          </cell>
          <cell r="E2055" t="str">
            <v>BRACKET</v>
          </cell>
          <cell r="F2055">
            <v>835.74</v>
          </cell>
        </row>
        <row r="2056">
          <cell r="D2056">
            <v>517154700104</v>
          </cell>
          <cell r="E2056" t="str">
            <v>BRACKET ASSY,YAW RATE SENSOR MTG</v>
          </cell>
          <cell r="F2056">
            <v>5397.05</v>
          </cell>
        </row>
        <row r="2057">
          <cell r="D2057">
            <v>517170100171</v>
          </cell>
          <cell r="E2057" t="str">
            <v>SUPD ASSY,LH</v>
          </cell>
          <cell r="F2057">
            <v>5451.28</v>
          </cell>
        </row>
        <row r="2058">
          <cell r="D2058">
            <v>517143700173</v>
          </cell>
          <cell r="E2058" t="str">
            <v>BRACKET ASSY</v>
          </cell>
          <cell r="F2058">
            <v>5232.87</v>
          </cell>
        </row>
        <row r="2059">
          <cell r="D2059">
            <v>517143803311</v>
          </cell>
          <cell r="E2059" t="str">
            <v>BRACKET,HOSE MTG,LH</v>
          </cell>
          <cell r="F2059">
            <v>2090.5300000000002</v>
          </cell>
        </row>
        <row r="2060">
          <cell r="D2060">
            <v>502380113313</v>
          </cell>
          <cell r="E2060" t="str">
            <v>L-BRACKET,CABLE SUPPORT</v>
          </cell>
          <cell r="F2060">
            <v>7175.86</v>
          </cell>
        </row>
        <row r="2061">
          <cell r="D2061">
            <v>502380113312</v>
          </cell>
          <cell r="E2061" t="str">
            <v>L-BRACKET,CABLE SUPPORT</v>
          </cell>
          <cell r="F2061">
            <v>5160.87</v>
          </cell>
        </row>
        <row r="2062">
          <cell r="D2062">
            <v>502380113311</v>
          </cell>
          <cell r="E2062" t="str">
            <v>L-BRACKET,CABLE SUPPORT</v>
          </cell>
          <cell r="F2062">
            <v>8549.77</v>
          </cell>
        </row>
        <row r="2063">
          <cell r="D2063">
            <v>502360128279</v>
          </cell>
          <cell r="E2063" t="str">
            <v>COVER</v>
          </cell>
          <cell r="F2063">
            <v>250.63</v>
          </cell>
        </row>
        <row r="2064">
          <cell r="D2064">
            <v>502360128280</v>
          </cell>
          <cell r="E2064" t="str">
            <v>COVER PLATE,PANEL</v>
          </cell>
          <cell r="F2064">
            <v>581.79999999999995</v>
          </cell>
        </row>
        <row r="2065">
          <cell r="D2065">
            <v>502380923315</v>
          </cell>
          <cell r="E2065" t="str">
            <v>BRACKET</v>
          </cell>
          <cell r="F2065">
            <v>17996.849999999999</v>
          </cell>
        </row>
        <row r="2066">
          <cell r="D2066">
            <v>502380923372</v>
          </cell>
          <cell r="E2066" t="str">
            <v>BRACKET</v>
          </cell>
          <cell r="F2066">
            <v>1446.82</v>
          </cell>
        </row>
        <row r="2067">
          <cell r="D2067">
            <v>502380923380</v>
          </cell>
          <cell r="E2067" t="str">
            <v>BRACKET</v>
          </cell>
          <cell r="F2067">
            <v>7277.64</v>
          </cell>
        </row>
        <row r="2068">
          <cell r="D2068">
            <v>502380103331</v>
          </cell>
          <cell r="E2068" t="str">
            <v>L-BRACKET,CABLE SUPPORT</v>
          </cell>
          <cell r="F2068">
            <v>732.76</v>
          </cell>
        </row>
        <row r="2069">
          <cell r="D2069">
            <v>502380113310</v>
          </cell>
          <cell r="E2069" t="str">
            <v>L-BRACKET,CABLE SUPPORT</v>
          </cell>
          <cell r="F2069">
            <v>4473.3599999999997</v>
          </cell>
        </row>
        <row r="2070">
          <cell r="D2070">
            <v>502380923328</v>
          </cell>
          <cell r="E2070" t="str">
            <v>BRACKET</v>
          </cell>
          <cell r="F2070">
            <v>9829.23</v>
          </cell>
        </row>
        <row r="2071">
          <cell r="D2071">
            <v>502380923311</v>
          </cell>
          <cell r="E2071" t="str">
            <v>BRACKET</v>
          </cell>
          <cell r="F2071">
            <v>103.67</v>
          </cell>
        </row>
        <row r="2072">
          <cell r="D2072">
            <v>502380923310</v>
          </cell>
          <cell r="E2072" t="str">
            <v>BRACKET</v>
          </cell>
          <cell r="F2072">
            <v>85.26</v>
          </cell>
        </row>
        <row r="2073">
          <cell r="D2073">
            <v>502380923314</v>
          </cell>
          <cell r="E2073" t="str">
            <v>BRACKET</v>
          </cell>
          <cell r="F2073">
            <v>77.040000000000006</v>
          </cell>
        </row>
        <row r="2074">
          <cell r="D2074">
            <v>502380103327</v>
          </cell>
          <cell r="E2074" t="str">
            <v>L-BRACKET,CABLE SUPPORT</v>
          </cell>
          <cell r="F2074">
            <v>11028.64</v>
          </cell>
        </row>
        <row r="2075">
          <cell r="D2075">
            <v>502380923308</v>
          </cell>
          <cell r="E2075" t="str">
            <v>BRACKET</v>
          </cell>
          <cell r="F2075">
            <v>7582.2</v>
          </cell>
        </row>
        <row r="2076">
          <cell r="D2076">
            <v>502380900302</v>
          </cell>
          <cell r="E2076" t="str">
            <v>BRACKET ASSY</v>
          </cell>
          <cell r="F2076">
            <v>839.18</v>
          </cell>
        </row>
        <row r="2077">
          <cell r="D2077">
            <v>502380900283</v>
          </cell>
          <cell r="E2077" t="str">
            <v>BRACKET ASSY,RADIATOR MTG</v>
          </cell>
          <cell r="F2077">
            <v>21567.51</v>
          </cell>
        </row>
        <row r="2078">
          <cell r="D2078">
            <v>502380900279</v>
          </cell>
          <cell r="E2078" t="str">
            <v>BRACKET,RADIATOR MTG</v>
          </cell>
          <cell r="F2078">
            <v>6432.12</v>
          </cell>
        </row>
        <row r="2079">
          <cell r="D2079">
            <v>502380900333</v>
          </cell>
          <cell r="E2079" t="str">
            <v>BRACKET ASSY</v>
          </cell>
          <cell r="F2079">
            <v>2106.1799999999998</v>
          </cell>
        </row>
        <row r="2080">
          <cell r="D2080">
            <v>502380103329</v>
          </cell>
          <cell r="E2080" t="str">
            <v>BRACKET,HV CABLE SUPPORT</v>
          </cell>
          <cell r="F2080">
            <v>1704.16</v>
          </cell>
        </row>
        <row r="2081">
          <cell r="D2081">
            <v>502389100101</v>
          </cell>
          <cell r="E2081" t="str">
            <v>SUPPORT ASSY,FRONT-RH</v>
          </cell>
          <cell r="F2081">
            <v>21558.26</v>
          </cell>
        </row>
        <row r="2082">
          <cell r="D2082">
            <v>502380923329</v>
          </cell>
          <cell r="E2082" t="str">
            <v>BRACKET</v>
          </cell>
          <cell r="F2082">
            <v>1375.03</v>
          </cell>
        </row>
        <row r="2083">
          <cell r="D2083">
            <v>517142700111</v>
          </cell>
          <cell r="E2083" t="str">
            <v>LEVER ASSY</v>
          </cell>
          <cell r="F2083">
            <v>2217.83</v>
          </cell>
        </row>
        <row r="2084">
          <cell r="D2084">
            <v>517188100106</v>
          </cell>
          <cell r="E2084" t="str">
            <v>MUD LINER EXTENSION BRACKET ASSY,RH</v>
          </cell>
          <cell r="F2084">
            <v>3811.93</v>
          </cell>
        </row>
        <row r="2085">
          <cell r="D2085">
            <v>502331208288</v>
          </cell>
          <cell r="E2085" t="str">
            <v>SPACER,CRADLE ASSY</v>
          </cell>
          <cell r="F2085">
            <v>1394.21</v>
          </cell>
        </row>
        <row r="2086">
          <cell r="D2086">
            <v>517180110204</v>
          </cell>
          <cell r="E2086" t="str">
            <v>BRACKET ASSY,CHARGER SOCKET</v>
          </cell>
          <cell r="F2086">
            <v>2222.48</v>
          </cell>
        </row>
        <row r="2087">
          <cell r="D2087">
            <v>517180110236</v>
          </cell>
          <cell r="E2087" t="str">
            <v>Z-BRACKET,CABLE SUPPORT</v>
          </cell>
          <cell r="F2087">
            <v>1718.25</v>
          </cell>
        </row>
        <row r="2088">
          <cell r="D2088">
            <v>557680900108</v>
          </cell>
          <cell r="E2088" t="str">
            <v>BRACKET ASSY</v>
          </cell>
          <cell r="F2088">
            <v>5840.61</v>
          </cell>
        </row>
        <row r="2089">
          <cell r="D2089">
            <v>557654630103</v>
          </cell>
          <cell r="E2089" t="str">
            <v>BRACKET ASSY,CHANNEL MTG</v>
          </cell>
          <cell r="F2089">
            <v>5761.03</v>
          </cell>
        </row>
        <row r="2090">
          <cell r="D2090">
            <v>585888500232</v>
          </cell>
          <cell r="E2090" t="str">
            <v>BRACKET ASSY,BUMPER MTG,RH</v>
          </cell>
          <cell r="F2090">
            <v>5606.31</v>
          </cell>
        </row>
        <row r="2091">
          <cell r="D2091">
            <v>517143700174</v>
          </cell>
          <cell r="E2091" t="str">
            <v>BRACKET,VACUUM TANK MTG</v>
          </cell>
          <cell r="F2091">
            <v>4364.75</v>
          </cell>
        </row>
        <row r="2092">
          <cell r="D2092">
            <v>585888200243</v>
          </cell>
          <cell r="E2092" t="str">
            <v>PIPE ASSY,REAR FENDER MTG,LH</v>
          </cell>
          <cell r="F2092">
            <v>977.66</v>
          </cell>
        </row>
        <row r="2093">
          <cell r="D2093">
            <v>585888200244</v>
          </cell>
          <cell r="E2093" t="str">
            <v>PIPE ASSY,REAR FEDNER MTG,RH</v>
          </cell>
          <cell r="F2093">
            <v>876.97</v>
          </cell>
        </row>
        <row r="2094">
          <cell r="D2094">
            <v>585888200245</v>
          </cell>
          <cell r="E2094" t="str">
            <v>PIPE ASSY,REAR FENDER MTG,LH</v>
          </cell>
          <cell r="F2094">
            <v>913.8</v>
          </cell>
        </row>
        <row r="2095">
          <cell r="D2095">
            <v>585888200246</v>
          </cell>
          <cell r="E2095" t="str">
            <v>PIPE ASSY,REAR FENDER MTG,RH</v>
          </cell>
          <cell r="F2095">
            <v>913.8</v>
          </cell>
        </row>
        <row r="2096">
          <cell r="D2096">
            <v>517143703364</v>
          </cell>
          <cell r="E2096" t="str">
            <v>BRACKET</v>
          </cell>
          <cell r="F2096">
            <v>4409.8900000000003</v>
          </cell>
        </row>
        <row r="2097">
          <cell r="D2097">
            <v>517143708602</v>
          </cell>
          <cell r="E2097" t="str">
            <v>SUPPORT PLATE</v>
          </cell>
          <cell r="F2097">
            <v>211.61</v>
          </cell>
        </row>
        <row r="2098">
          <cell r="D2098">
            <v>517143708603</v>
          </cell>
          <cell r="E2098" t="str">
            <v>SUPPORT PLATE</v>
          </cell>
          <cell r="F2098">
            <v>2309.5</v>
          </cell>
        </row>
        <row r="2099">
          <cell r="D2099">
            <v>557654633304</v>
          </cell>
          <cell r="E2099" t="str">
            <v>BRACKET</v>
          </cell>
          <cell r="F2099">
            <v>3549.36</v>
          </cell>
        </row>
        <row r="2100">
          <cell r="D2100">
            <v>557654633303</v>
          </cell>
          <cell r="E2100" t="str">
            <v>BRACKET,BMS W/H SUPPORT,TRAY MTG</v>
          </cell>
          <cell r="F2100">
            <v>4479.83</v>
          </cell>
        </row>
        <row r="2101">
          <cell r="D2101">
            <v>517180103337</v>
          </cell>
          <cell r="E2101" t="str">
            <v>Z-BRACKET,CABLE SUPPORT</v>
          </cell>
          <cell r="F2101">
            <v>4407.58</v>
          </cell>
        </row>
        <row r="2102">
          <cell r="D2102">
            <v>517180900111</v>
          </cell>
          <cell r="E2102" t="str">
            <v>517180900111</v>
          </cell>
          <cell r="F2102">
            <v>4740.3999999999996</v>
          </cell>
        </row>
        <row r="2103">
          <cell r="D2103">
            <v>585861500108</v>
          </cell>
          <cell r="E2103" t="str">
            <v>BRACKET ASSY</v>
          </cell>
          <cell r="F2103">
            <v>4702.1899999999996</v>
          </cell>
        </row>
        <row r="2104">
          <cell r="D2104">
            <v>517180103345</v>
          </cell>
          <cell r="E2104" t="str">
            <v>Z-BRACKET,CABLE SUPPORT</v>
          </cell>
          <cell r="F2104">
            <v>5388.74</v>
          </cell>
        </row>
        <row r="2105">
          <cell r="D2105">
            <v>269942808207</v>
          </cell>
          <cell r="E2105" t="str">
            <v>CLAMPING PLATE</v>
          </cell>
          <cell r="F2105">
            <v>4449.07</v>
          </cell>
        </row>
        <row r="2106">
          <cell r="D2106">
            <v>500642100153</v>
          </cell>
          <cell r="E2106" t="str">
            <v>ACTUATOR MOUNTING BRACKET LH (FABRICATED</v>
          </cell>
          <cell r="F2106">
            <v>769.88</v>
          </cell>
        </row>
        <row r="2107">
          <cell r="D2107">
            <v>500642100154</v>
          </cell>
          <cell r="E2107" t="str">
            <v>ACTUATOR MOUNTING BRACKET RH (FABRICATED</v>
          </cell>
          <cell r="F2107">
            <v>769.88</v>
          </cell>
        </row>
        <row r="2108">
          <cell r="D2108">
            <v>551932300101</v>
          </cell>
          <cell r="E2108" t="str">
            <v>ASSY SHOCK ABSORBER BRKT LOWER-LH</v>
          </cell>
          <cell r="F2108">
            <v>1429.13</v>
          </cell>
        </row>
        <row r="2109">
          <cell r="D2109">
            <v>551932300102</v>
          </cell>
          <cell r="E2109" t="str">
            <v>ASSY SHOCK ABSORBER BRKT LOWER-RH</v>
          </cell>
          <cell r="F2109">
            <v>1429.13</v>
          </cell>
        </row>
        <row r="2110">
          <cell r="D2110">
            <v>585572108242</v>
          </cell>
          <cell r="E2110" t="str">
            <v>NEW DOOR GLASS RUNNER LH</v>
          </cell>
          <cell r="F2110">
            <v>471.28</v>
          </cell>
        </row>
        <row r="2111">
          <cell r="D2111">
            <v>585572108243</v>
          </cell>
          <cell r="E2111" t="str">
            <v>NEW DOOR GLASS RUNNER RH</v>
          </cell>
          <cell r="F2111">
            <v>471.28</v>
          </cell>
        </row>
        <row r="2112">
          <cell r="D2112">
            <v>585572208221</v>
          </cell>
          <cell r="E2112" t="str">
            <v>NEW WAIST RAIL INNER COMMON</v>
          </cell>
          <cell r="F2112">
            <v>265.75</v>
          </cell>
        </row>
        <row r="2113">
          <cell r="D2113">
            <v>585572308218</v>
          </cell>
          <cell r="E2113" t="str">
            <v>GLASS LIMITING BRACKET</v>
          </cell>
          <cell r="F2113">
            <v>5.0999999999999996</v>
          </cell>
        </row>
        <row r="2114">
          <cell r="D2114">
            <v>585572308219</v>
          </cell>
          <cell r="E2114" t="str">
            <v>NEW REINF LATCH COMM</v>
          </cell>
          <cell r="F2114">
            <v>7.51</v>
          </cell>
        </row>
        <row r="2115">
          <cell r="D2115">
            <v>278620140110</v>
          </cell>
          <cell r="E2115" t="str">
            <v>FAN RING ASSY</v>
          </cell>
          <cell r="F2115">
            <v>41.26</v>
          </cell>
        </row>
        <row r="2116">
          <cell r="D2116">
            <v>278620140111</v>
          </cell>
          <cell r="E2116" t="str">
            <v>FAN RING ASSY</v>
          </cell>
          <cell r="F2116">
            <v>42.77</v>
          </cell>
        </row>
        <row r="2117">
          <cell r="D2117">
            <v>278620143301</v>
          </cell>
          <cell r="E2117" t="str">
            <v>BRACKET-RH (FOR FAN RING BOTTOM MTG) (B)</v>
          </cell>
          <cell r="F2117">
            <v>20.88</v>
          </cell>
        </row>
        <row r="2118">
          <cell r="D2118">
            <v>278620143302</v>
          </cell>
          <cell r="E2118" t="str">
            <v>BRACKET-LH (FOR FAN RING BOTTOM MTG) (B)</v>
          </cell>
          <cell r="F2118">
            <v>20.88</v>
          </cell>
        </row>
        <row r="2119">
          <cell r="D2119">
            <v>278620143303</v>
          </cell>
          <cell r="E2119" t="str">
            <v>BRACKET-LH(FOR FAN RING BOTTOM MTG)</v>
          </cell>
          <cell r="F2119">
            <v>23.51</v>
          </cell>
        </row>
        <row r="2120">
          <cell r="D2120">
            <v>278620143304</v>
          </cell>
          <cell r="E2120" t="str">
            <v>BRACKET-LH(FOR FAN RING BOTTOM MTG)</v>
          </cell>
          <cell r="F2120">
            <v>23.51</v>
          </cell>
        </row>
        <row r="2121">
          <cell r="D2121">
            <v>274765100106</v>
          </cell>
          <cell r="E2121" t="str">
            <v>ROOF BOW ASSY,MIDDLE</v>
          </cell>
          <cell r="F2121">
            <v>84.66</v>
          </cell>
        </row>
        <row r="2122">
          <cell r="D2122">
            <v>274789110145</v>
          </cell>
          <cell r="E2122" t="str">
            <v>ASSY LEVER DAMPER GUIDE COMPLETE</v>
          </cell>
          <cell r="F2122">
            <v>407.22</v>
          </cell>
        </row>
        <row r="2123">
          <cell r="D2123">
            <v>274789110189</v>
          </cell>
          <cell r="E2123" t="str">
            <v>BRACKET ASSY,MUDGUARD MTG,LH</v>
          </cell>
          <cell r="F2123">
            <v>738.26</v>
          </cell>
        </row>
        <row r="2124">
          <cell r="D2124">
            <v>274789110190</v>
          </cell>
          <cell r="E2124" t="str">
            <v>BRACKET ASSY,MUDGUARD MTG,RH</v>
          </cell>
          <cell r="F2124">
            <v>738.26</v>
          </cell>
        </row>
        <row r="2125">
          <cell r="D2125">
            <v>274789120193</v>
          </cell>
          <cell r="E2125" t="str">
            <v>ASSY.MUDGUARD MTG.BKT.COMPL.-LH(7.5T-FA)</v>
          </cell>
          <cell r="F2125">
            <v>800.62</v>
          </cell>
        </row>
        <row r="2126">
          <cell r="D2126">
            <v>274789120195</v>
          </cell>
          <cell r="E2126" t="str">
            <v>ASSY.MUDGRD.MTG.BKT.COMPL.-RH(7.5T FA).</v>
          </cell>
          <cell r="F2126">
            <v>807.91</v>
          </cell>
        </row>
        <row r="2127">
          <cell r="D2127">
            <v>275754200102</v>
          </cell>
          <cell r="E2127" t="str">
            <v>ASSY.BKT.COMPLT.-H/T,S/B BUZZ.&amp; WIF.IND.</v>
          </cell>
          <cell r="F2127">
            <v>23.78</v>
          </cell>
        </row>
        <row r="2128">
          <cell r="D2128">
            <v>278346200105</v>
          </cell>
          <cell r="E2128" t="str">
            <v>STEERING COLUMN ASSY</v>
          </cell>
          <cell r="F2128">
            <v>253.59</v>
          </cell>
        </row>
        <row r="2129">
          <cell r="D2129">
            <v>500642100124</v>
          </cell>
          <cell r="E2129" t="str">
            <v>BRACKET,BRAKE CHAMBER MTG,LH</v>
          </cell>
          <cell r="F2129">
            <v>871.64</v>
          </cell>
        </row>
        <row r="2130">
          <cell r="D2130">
            <v>500642100125</v>
          </cell>
          <cell r="E2130" t="str">
            <v>BRACKET,BRAKE CHAMBER MTG,RH</v>
          </cell>
          <cell r="F2130">
            <v>871.64</v>
          </cell>
        </row>
        <row r="2131">
          <cell r="D2131">
            <v>500642100126</v>
          </cell>
          <cell r="E2131" t="str">
            <v>ACTUATOR MOUNTING BRACKET LH (FABRICATED</v>
          </cell>
          <cell r="F2131">
            <v>948.13</v>
          </cell>
        </row>
        <row r="2132">
          <cell r="D2132">
            <v>500642100127</v>
          </cell>
          <cell r="E2132" t="str">
            <v>ACTUATOR MOUNTING BRACKET RH (FABRICATED</v>
          </cell>
          <cell r="F2132">
            <v>948.13</v>
          </cell>
        </row>
        <row r="2133">
          <cell r="D2133">
            <v>550754510103</v>
          </cell>
          <cell r="E2133" t="str">
            <v>BRACKET ASSY(MAXI-FUSE BOX MTG FOR LPT)</v>
          </cell>
          <cell r="F2133">
            <v>113.84</v>
          </cell>
        </row>
        <row r="2134">
          <cell r="D2134">
            <v>585563600107</v>
          </cell>
          <cell r="E2134" t="str">
            <v>ASSY SIDE STRUCTURE LH</v>
          </cell>
          <cell r="F2134">
            <v>2998.97</v>
          </cell>
        </row>
        <row r="2135">
          <cell r="D2135">
            <v>585563600108</v>
          </cell>
          <cell r="E2135" t="str">
            <v>ASSY SIDE STRUCTURE RH</v>
          </cell>
          <cell r="F2135">
            <v>3105.39</v>
          </cell>
        </row>
        <row r="2136">
          <cell r="D2136">
            <v>27478911011235</v>
          </cell>
          <cell r="E2136" t="str">
            <v>ASSY.CAB MTG.BKT.RR COMPL-LH_UNPAINTED</v>
          </cell>
          <cell r="F2136">
            <v>948.5</v>
          </cell>
        </row>
        <row r="2137">
          <cell r="D2137">
            <v>27478911011335</v>
          </cell>
          <cell r="E2137" t="str">
            <v>ASSY.CAB MTG.BKT.RR COMPL-RH _UNPAINTED</v>
          </cell>
          <cell r="F2137">
            <v>908.88</v>
          </cell>
        </row>
        <row r="2138">
          <cell r="D2138">
            <v>570914110245</v>
          </cell>
          <cell r="E2138" t="str">
            <v>BRACKET ASSY</v>
          </cell>
          <cell r="F2138">
            <v>52.59</v>
          </cell>
        </row>
        <row r="2139">
          <cell r="D2139">
            <v>207430100104</v>
          </cell>
          <cell r="E2139" t="str">
            <v>ASSY INTERMEDIATE LEVER (B)</v>
          </cell>
          <cell r="F2139">
            <v>16.579999999999998</v>
          </cell>
        </row>
        <row r="2140">
          <cell r="D2140">
            <v>277615608201</v>
          </cell>
          <cell r="E2140" t="str">
            <v>BRACKET,CIGAR COIL BUNDLE SUPPORT</v>
          </cell>
          <cell r="F2140">
            <v>39.979999999999997</v>
          </cell>
        </row>
        <row r="2141">
          <cell r="D2141">
            <v>277615608207</v>
          </cell>
          <cell r="E2141" t="str">
            <v>BRACKET FOR W/H SUPPORT AT WATER INLET 6</v>
          </cell>
          <cell r="F2141">
            <v>3.45</v>
          </cell>
        </row>
        <row r="2142">
          <cell r="D2142">
            <v>277615608209</v>
          </cell>
          <cell r="E2142" t="str">
            <v>BRACKET-1 FOR W/H SUPPORT ON INTAKE MANI</v>
          </cell>
          <cell r="F2142">
            <v>10.27</v>
          </cell>
        </row>
        <row r="2143">
          <cell r="D2143">
            <v>277615608211</v>
          </cell>
          <cell r="E2143" t="str">
            <v>BRACKET FOR LAMDBA SENSOR BRANCH SUPPORT</v>
          </cell>
          <cell r="F2143">
            <v>5.36</v>
          </cell>
        </row>
        <row r="2144">
          <cell r="D2144">
            <v>278620140106</v>
          </cell>
          <cell r="E2144" t="str">
            <v>SSY.BRACKET-RH(TOP)FOR FAN RING MTG.</v>
          </cell>
          <cell r="F2144">
            <v>68</v>
          </cell>
        </row>
        <row r="2145">
          <cell r="D2145">
            <v>278620140114</v>
          </cell>
          <cell r="E2145" t="str">
            <v>ASSY.BRACKET LH-TOP(FAN RING MTG)</v>
          </cell>
          <cell r="F2145">
            <v>57.35</v>
          </cell>
        </row>
        <row r="2146">
          <cell r="D2146">
            <v>282115608207</v>
          </cell>
          <cell r="E2146" t="str">
            <v>BRACKET FOR WH SUPPORT AT GSL LOCATION 4</v>
          </cell>
          <cell r="F2146">
            <v>7.44</v>
          </cell>
        </row>
        <row r="2147">
          <cell r="D2147">
            <v>208231207110</v>
          </cell>
          <cell r="E2147" t="str">
            <v>SUPPORT Z-RH</v>
          </cell>
          <cell r="F2147">
            <v>2566.67</v>
          </cell>
        </row>
        <row r="2148">
          <cell r="D2148">
            <v>208231207111</v>
          </cell>
          <cell r="E2148" t="str">
            <v>SUPPORT Z-LH</v>
          </cell>
          <cell r="F2148">
            <v>2566.67</v>
          </cell>
        </row>
        <row r="2149">
          <cell r="D2149">
            <v>208246100101</v>
          </cell>
          <cell r="E2149" t="str">
            <v>ASSY. STEERING COLUMN SUPPORT</v>
          </cell>
          <cell r="F2149">
            <v>392.54</v>
          </cell>
        </row>
        <row r="2150">
          <cell r="D2150">
            <v>263246100104</v>
          </cell>
          <cell r="E2150" t="str">
            <v>ASSY.STEERING COLUMN SUPPORT</v>
          </cell>
          <cell r="F2150">
            <v>303.12</v>
          </cell>
        </row>
        <row r="2151">
          <cell r="D2151">
            <v>263246100107</v>
          </cell>
          <cell r="E2151" t="str">
            <v>ASSY STEERING COL WITHOUT STG.WHEEL</v>
          </cell>
          <cell r="F2151">
            <v>854.27</v>
          </cell>
        </row>
        <row r="2152">
          <cell r="D2152">
            <v>266135608204</v>
          </cell>
          <cell r="E2152" t="str">
            <v>OIL CATCHER ,RA-1055,245 PCD,CON BRG.</v>
          </cell>
          <cell r="F2152">
            <v>37.57</v>
          </cell>
        </row>
        <row r="2153">
          <cell r="D2153">
            <v>274789100105</v>
          </cell>
          <cell r="E2153" t="str">
            <v>ASSY.CROSS TUBE</v>
          </cell>
          <cell r="F2153">
            <v>2260.94</v>
          </cell>
        </row>
        <row r="2154">
          <cell r="D2154">
            <v>274789110113</v>
          </cell>
          <cell r="E2154" t="str">
            <v>ASSY.CAB MTG.BKT.RR COMPL RH (COIL SPN)N</v>
          </cell>
          <cell r="F2154">
            <v>1052.78</v>
          </cell>
        </row>
        <row r="2155">
          <cell r="D2155">
            <v>274789110127</v>
          </cell>
          <cell r="E2155" t="str">
            <v>ASSY PLATE BOTTOM LATCH MTG WELDED</v>
          </cell>
          <cell r="F2155">
            <v>540.29</v>
          </cell>
        </row>
        <row r="2156">
          <cell r="D2156">
            <v>284931700132</v>
          </cell>
          <cell r="E2156" t="str">
            <v>ASSY FUPD CROSS BEAM</v>
          </cell>
          <cell r="F2156">
            <v>2778.5</v>
          </cell>
        </row>
        <row r="2157">
          <cell r="D2157">
            <v>286742100178</v>
          </cell>
          <cell r="E2157" t="str">
            <v>BRACKET ASSY</v>
          </cell>
          <cell r="F2157">
            <v>774.25</v>
          </cell>
        </row>
        <row r="2158">
          <cell r="D2158">
            <v>286742100179</v>
          </cell>
          <cell r="E2158" t="str">
            <v>BRACKET ASSY</v>
          </cell>
          <cell r="F2158">
            <v>774.25</v>
          </cell>
        </row>
        <row r="2159">
          <cell r="D2159">
            <v>287942300177</v>
          </cell>
          <cell r="E2159" t="str">
            <v>BRACKET ASSY,CHAMBER MTG,REAR-LH</v>
          </cell>
          <cell r="F2159">
            <v>418.35</v>
          </cell>
        </row>
        <row r="2160">
          <cell r="D2160">
            <v>287942300178</v>
          </cell>
          <cell r="E2160" t="str">
            <v>BRACKET ASSY,CHAMBER MTG,REAR-RH</v>
          </cell>
          <cell r="F2160">
            <v>418.35</v>
          </cell>
        </row>
        <row r="2161">
          <cell r="D2161">
            <v>288049108240</v>
          </cell>
          <cell r="E2161" t="str">
            <v>HEAT SHIELD ASSY</v>
          </cell>
          <cell r="F2161">
            <v>303.56</v>
          </cell>
        </row>
        <row r="2162">
          <cell r="D2162">
            <v>500849108207</v>
          </cell>
          <cell r="E2162" t="str">
            <v>HEAT SHIELD,TAIL PIPE,BOTTOM</v>
          </cell>
          <cell r="F2162">
            <v>263</v>
          </cell>
        </row>
        <row r="2163">
          <cell r="D2163">
            <v>500849108208</v>
          </cell>
          <cell r="E2163" t="str">
            <v>HEAT SHIELD,TAIL PIPE,MIDDLE</v>
          </cell>
          <cell r="F2163">
            <v>866</v>
          </cell>
        </row>
        <row r="2164">
          <cell r="D2164">
            <v>500849108250</v>
          </cell>
          <cell r="E2164" t="str">
            <v>ASBESTOS</v>
          </cell>
          <cell r="F2164">
            <v>954.1</v>
          </cell>
        </row>
        <row r="2165">
          <cell r="D2165">
            <v>500849208215</v>
          </cell>
          <cell r="E2165" t="str">
            <v>SHIELD,SILENCER</v>
          </cell>
          <cell r="F2165">
            <v>332.27</v>
          </cell>
        </row>
        <row r="2166">
          <cell r="D2166">
            <v>503232300103</v>
          </cell>
          <cell r="E2166" t="str">
            <v>SA BOTTOM BRACKET- LH</v>
          </cell>
          <cell r="F2166">
            <v>384.59</v>
          </cell>
        </row>
        <row r="2167">
          <cell r="D2167">
            <v>503232300104</v>
          </cell>
          <cell r="E2167" t="str">
            <v>SA BOTTOM BRACKET-RH</v>
          </cell>
          <cell r="F2167">
            <v>384.59</v>
          </cell>
        </row>
        <row r="2168">
          <cell r="D2168">
            <v>570922128201</v>
          </cell>
          <cell r="E2168" t="str">
            <v>ENGINE LIFTING HOOK,CYL HEAD,FRONT</v>
          </cell>
          <cell r="F2168">
            <v>61.86</v>
          </cell>
        </row>
        <row r="2169">
          <cell r="D2169">
            <v>581735608201</v>
          </cell>
          <cell r="E2169" t="str">
            <v>OIL CATCHER(RA 1068)</v>
          </cell>
          <cell r="F2169">
            <v>51.35</v>
          </cell>
        </row>
        <row r="2170">
          <cell r="D2170">
            <v>274760100103</v>
          </cell>
          <cell r="E2170" t="str">
            <v>ASSY.SUPPORT FRONT GRILL</v>
          </cell>
          <cell r="F2170">
            <v>1141.17</v>
          </cell>
        </row>
        <row r="2171">
          <cell r="D2171">
            <v>263246100105</v>
          </cell>
          <cell r="E2171" t="str">
            <v>ASSY.STEERING COLUMN WITHOUT STG.WHEEL</v>
          </cell>
          <cell r="F2171">
            <v>948.73</v>
          </cell>
        </row>
        <row r="2172">
          <cell r="D2172">
            <v>250526406101</v>
          </cell>
          <cell r="E2172" t="str">
            <v>LOCKING PLATE</v>
          </cell>
          <cell r="F2172">
            <v>1.31</v>
          </cell>
        </row>
        <row r="2173">
          <cell r="D2173">
            <v>280949208220</v>
          </cell>
          <cell r="E2173" t="str">
            <v>SHIELD (VERTICAL EXHAUST - TAIL PIPE)</v>
          </cell>
          <cell r="F2173">
            <v>655.76</v>
          </cell>
        </row>
        <row r="2174">
          <cell r="D2174">
            <v>280949208231</v>
          </cell>
          <cell r="E2174" t="str">
            <v>SHIELD</v>
          </cell>
          <cell r="F2174">
            <v>848.69</v>
          </cell>
        </row>
        <row r="2175">
          <cell r="D2175">
            <v>280949208221</v>
          </cell>
          <cell r="E2175" t="str">
            <v>SHIELD (VERTICAL EXHAUST - TAIL PIPE)</v>
          </cell>
          <cell r="F2175">
            <v>588.32000000000005</v>
          </cell>
        </row>
        <row r="2176">
          <cell r="D2176" t="str">
            <v>50326360M10107</v>
          </cell>
          <cell r="E2176" t="str">
            <v>SIDE STRUCTURE ASSY,LH</v>
          </cell>
          <cell r="F2176">
            <v>3007.16</v>
          </cell>
        </row>
        <row r="2177">
          <cell r="D2177" t="str">
            <v>50326360M10108</v>
          </cell>
          <cell r="E2177" t="str">
            <v>SIDE STRUCTURE ASSY,RH</v>
          </cell>
          <cell r="F2177">
            <v>3116.65</v>
          </cell>
        </row>
        <row r="2178">
          <cell r="D2178">
            <v>277615608210</v>
          </cell>
          <cell r="E2178" t="str">
            <v>BRACKET-2 FOR W/H SUPPORT ON INTAKE MANI</v>
          </cell>
          <cell r="F2178">
            <v>18.66</v>
          </cell>
        </row>
        <row r="2179">
          <cell r="D2179">
            <v>222970408274</v>
          </cell>
          <cell r="E2179" t="str">
            <v>BRACKET</v>
          </cell>
          <cell r="F2179">
            <v>38.020000000000003</v>
          </cell>
        </row>
        <row r="2180">
          <cell r="D2180">
            <v>284643903308</v>
          </cell>
          <cell r="E2180" t="str">
            <v>STRAIGHT BRACKET</v>
          </cell>
          <cell r="F2180">
            <v>110.27</v>
          </cell>
        </row>
        <row r="2181">
          <cell r="D2181">
            <v>288546803310</v>
          </cell>
          <cell r="E2181" t="str">
            <v>BRACKET,STG PIPE MTG</v>
          </cell>
          <cell r="F2181">
            <v>53.37</v>
          </cell>
        </row>
        <row r="2182">
          <cell r="D2182">
            <v>208246100105</v>
          </cell>
          <cell r="E2182" t="str">
            <v>ASSY. STEERING COLUMN SUPPORT</v>
          </cell>
          <cell r="F2182">
            <v>390.23</v>
          </cell>
        </row>
        <row r="2183">
          <cell r="D2183">
            <v>280846100103</v>
          </cell>
          <cell r="E2183" t="str">
            <v>STEERING COLUMN ASSY W/O STEERING WHEEL</v>
          </cell>
          <cell r="F2183">
            <v>1148.46</v>
          </cell>
        </row>
        <row r="2184">
          <cell r="D2184">
            <v>550654608260</v>
          </cell>
          <cell r="E2184" t="str">
            <v>BRACKET ON CROSS MEMBER FOR WH MTG</v>
          </cell>
          <cell r="F2184">
            <v>2.16</v>
          </cell>
        </row>
        <row r="2185">
          <cell r="D2185">
            <v>3125800085</v>
          </cell>
          <cell r="E2185" t="str">
            <v>ASSY ADJUSTING FORK- FUEL INJECTION PUMP</v>
          </cell>
          <cell r="F2185">
            <v>34.74</v>
          </cell>
        </row>
        <row r="2186">
          <cell r="D2186">
            <v>215389110103</v>
          </cell>
          <cell r="E2186" t="str">
            <v>BRACKET ASSY,MUDGUARD MTG,LH</v>
          </cell>
          <cell r="F2186">
            <v>850.38</v>
          </cell>
        </row>
        <row r="2187">
          <cell r="D2187">
            <v>215389110104</v>
          </cell>
          <cell r="E2187" t="str">
            <v>BRACKET ASSY,MUDGUARD MTG,RH</v>
          </cell>
          <cell r="F2187">
            <v>850.33</v>
          </cell>
        </row>
        <row r="2188">
          <cell r="D2188">
            <v>252714604223</v>
          </cell>
          <cell r="E2188" t="str">
            <v>P TYPE CLAMP</v>
          </cell>
          <cell r="F2188">
            <v>3.45</v>
          </cell>
        </row>
        <row r="2189">
          <cell r="D2189">
            <v>284547504201</v>
          </cell>
          <cell r="E2189" t="str">
            <v>RUBBER CLAMP-10DIA</v>
          </cell>
          <cell r="F2189">
            <v>19.7</v>
          </cell>
        </row>
        <row r="2190">
          <cell r="D2190">
            <v>259289100103</v>
          </cell>
          <cell r="E2190" t="str">
            <v>ASSY.BRACKET LH(COWL MTG REAR)</v>
          </cell>
          <cell r="F2190">
            <v>462.78</v>
          </cell>
        </row>
        <row r="2191">
          <cell r="D2191">
            <v>267389100101</v>
          </cell>
          <cell r="E2191" t="str">
            <v>CROSS TUBE ASSY,TORSION BAR</v>
          </cell>
          <cell r="F2191">
            <v>1407.57</v>
          </cell>
        </row>
        <row r="2192">
          <cell r="D2192">
            <v>282131407101</v>
          </cell>
          <cell r="E2192" t="str">
            <v>SPACER</v>
          </cell>
          <cell r="F2192">
            <v>18.559999999999999</v>
          </cell>
        </row>
        <row r="2193">
          <cell r="D2193">
            <v>264254200140</v>
          </cell>
          <cell r="E2193" t="str">
            <v>BRACKET ASSY,FUSE BOX MTG</v>
          </cell>
          <cell r="F2193">
            <v>57.15</v>
          </cell>
        </row>
        <row r="2194">
          <cell r="D2194">
            <v>570650103366</v>
          </cell>
          <cell r="E2194" t="str">
            <v>SUPPORT BRACKET</v>
          </cell>
          <cell r="F2194">
            <v>107.73</v>
          </cell>
        </row>
        <row r="2195">
          <cell r="D2195">
            <v>274789110127</v>
          </cell>
          <cell r="E2195" t="str">
            <v>ASSY PLATE BOTTOM LATCH MTG WELDED</v>
          </cell>
          <cell r="F2195">
            <v>485.52</v>
          </cell>
        </row>
        <row r="2196">
          <cell r="D2196">
            <v>550654608275</v>
          </cell>
          <cell r="E2196" t="str">
            <v>BRACKET,CHASSIS WIRING HARNESS MTG</v>
          </cell>
          <cell r="F2196">
            <v>25.28</v>
          </cell>
        </row>
        <row r="2197">
          <cell r="D2197">
            <v>570650110181</v>
          </cell>
          <cell r="E2197" t="str">
            <v>BRACKET ASSY,RADIATOR STAY ROD MTG</v>
          </cell>
          <cell r="F2197">
            <v>67.33</v>
          </cell>
        </row>
        <row r="2198">
          <cell r="D2198">
            <v>570650110182</v>
          </cell>
          <cell r="E2198" t="str">
            <v>BRACKET ASSY,RADIATOR STAY ROD MTG</v>
          </cell>
          <cell r="F2198">
            <v>67.33</v>
          </cell>
        </row>
        <row r="2199">
          <cell r="D2199" t="str">
            <v>A556480500102X1</v>
          </cell>
          <cell r="E2199" t="str">
            <v>BRACKET ASSY-ASSY WELDING FIXTURE</v>
          </cell>
          <cell r="F2199">
            <v>80971</v>
          </cell>
        </row>
        <row r="2200">
          <cell r="D2200" t="str">
            <v>D556480503301Y1</v>
          </cell>
          <cell r="E2200" t="str">
            <v>BRACKET-BLANKING&amp;PIE TOOL</v>
          </cell>
          <cell r="F2200">
            <v>310104</v>
          </cell>
        </row>
        <row r="2201">
          <cell r="D2201" t="str">
            <v>D556480503301Y2</v>
          </cell>
          <cell r="E2201" t="str">
            <v>BRACKET-1ST PIERCING TOOL</v>
          </cell>
          <cell r="F2201">
            <v>173290</v>
          </cell>
        </row>
        <row r="2202">
          <cell r="D2202" t="str">
            <v>D556480503301Y3</v>
          </cell>
          <cell r="E2202" t="str">
            <v>BRACKET-2ND PIERCING TOOL</v>
          </cell>
          <cell r="F2202">
            <v>166320</v>
          </cell>
        </row>
        <row r="2203">
          <cell r="D2203" t="str">
            <v>D556480503301Y4</v>
          </cell>
          <cell r="E2203" t="str">
            <v>BRACKET-1ST FORMING TOOL</v>
          </cell>
          <cell r="F2203">
            <v>397950</v>
          </cell>
        </row>
        <row r="2204">
          <cell r="D2204" t="str">
            <v>D556480503301Y5</v>
          </cell>
          <cell r="E2204" t="str">
            <v>BRACKET-2ND FORMING TOOL</v>
          </cell>
          <cell r="F2204">
            <v>344351</v>
          </cell>
        </row>
        <row r="2205">
          <cell r="D2205" t="str">
            <v>D556480503303X1</v>
          </cell>
          <cell r="E2205" t="str">
            <v>BRACKET-BLANK</v>
          </cell>
          <cell r="F2205">
            <v>370012</v>
          </cell>
        </row>
        <row r="2206">
          <cell r="D2206" t="str">
            <v>D556480503303X2</v>
          </cell>
          <cell r="E2206" t="str">
            <v>BRACKET-PRE FORM</v>
          </cell>
          <cell r="F2206">
            <v>395612</v>
          </cell>
        </row>
        <row r="2207">
          <cell r="D2207" t="str">
            <v>D556480503303X3</v>
          </cell>
          <cell r="E2207" t="str">
            <v>BRACKET-FORM I</v>
          </cell>
          <cell r="F2207">
            <v>398387</v>
          </cell>
        </row>
        <row r="2208">
          <cell r="D2208" t="str">
            <v>D556480503303X4</v>
          </cell>
          <cell r="E2208" t="str">
            <v>BRACKET-FORM II</v>
          </cell>
          <cell r="F2208">
            <v>363422</v>
          </cell>
        </row>
        <row r="2209">
          <cell r="D2209" t="str">
            <v>D556480503303X5</v>
          </cell>
          <cell r="E2209" t="str">
            <v>BRACKET-PART OFF</v>
          </cell>
          <cell r="F2209">
            <v>282467</v>
          </cell>
        </row>
        <row r="2210">
          <cell r="D2210" t="str">
            <v>D556480503303X6</v>
          </cell>
          <cell r="E2210" t="str">
            <v>BRACKET-RESTRIKE TOOL</v>
          </cell>
          <cell r="F2210">
            <v>244409</v>
          </cell>
        </row>
        <row r="2211">
          <cell r="D2211" t="str">
            <v>Q556480500102X1</v>
          </cell>
          <cell r="E2211" t="str">
            <v>BRACKET ASSY-ASSY INSPESTION FIXTURE</v>
          </cell>
          <cell r="F2211">
            <v>80939</v>
          </cell>
        </row>
        <row r="2212">
          <cell r="D2212" t="str">
            <v>Q556480503301Y1</v>
          </cell>
          <cell r="E2212" t="str">
            <v>BRACKET-PANEL CHECKER</v>
          </cell>
          <cell r="F2212">
            <v>47060</v>
          </cell>
        </row>
        <row r="2213">
          <cell r="D2213" t="str">
            <v>Q556480503303X1</v>
          </cell>
          <cell r="E2213" t="str">
            <v>BRACKET-PANEL CHECKER</v>
          </cell>
          <cell r="F2213">
            <v>54429</v>
          </cell>
        </row>
        <row r="2214">
          <cell r="D2214">
            <v>264154608232</v>
          </cell>
          <cell r="E2214" t="str">
            <v>BRACKET TAIL WIREING HARNESS CLAMPING.</v>
          </cell>
          <cell r="F2214">
            <v>4.18</v>
          </cell>
        </row>
        <row r="2215">
          <cell r="D2215" t="str">
            <v>55507235AG3RAM90</v>
          </cell>
          <cell r="E2215" t="str">
            <v>WINGER AMB TYPE C BS6 7+P AC SI</v>
          </cell>
          <cell r="F2215">
            <v>363992</v>
          </cell>
        </row>
        <row r="2216">
          <cell r="D2216" t="str">
            <v>55507632AG3RMM29</v>
          </cell>
          <cell r="E2216" t="str">
            <v>VETERINARY VAN WINGER BS6</v>
          </cell>
          <cell r="F2216">
            <v>247146</v>
          </cell>
        </row>
        <row r="2217">
          <cell r="D2217" t="str">
            <v>55507235AG3RAM95</v>
          </cell>
          <cell r="E2217" t="str">
            <v>WINGER AMB TYPED BS6 8+P ACSI</v>
          </cell>
          <cell r="F2217">
            <v>533134</v>
          </cell>
        </row>
        <row r="2218">
          <cell r="D2218" t="str">
            <v>55507235AG3RAM89</v>
          </cell>
          <cell r="E2218" t="str">
            <v>WINGER AMB TYPED BS6 8+P ACSI</v>
          </cell>
          <cell r="F2218">
            <v>370000</v>
          </cell>
        </row>
        <row r="2219">
          <cell r="D2219" t="str">
            <v>55507235AG3RAM96</v>
          </cell>
          <cell r="E2219" t="str">
            <v>WINGER AMB TYPED BS6 8+P ACSI</v>
          </cell>
          <cell r="F2219">
            <v>910581</v>
          </cell>
        </row>
        <row r="2220">
          <cell r="D2220" t="str">
            <v>55500335AG3RAM98</v>
          </cell>
          <cell r="E2220" t="str">
            <v>WINGER FL AMB-B 35 8+P AC</v>
          </cell>
          <cell r="F2220">
            <v>247325</v>
          </cell>
        </row>
        <row r="2221">
          <cell r="D2221" t="str">
            <v>55507632AG3RAM85</v>
          </cell>
          <cell r="E2221" t="str">
            <v>WINGER AMB PT BS6 7+P AC HT SI</v>
          </cell>
          <cell r="F2221">
            <v>195630</v>
          </cell>
        </row>
        <row r="2222">
          <cell r="D2222" t="str">
            <v>55500335AG3RAM90</v>
          </cell>
          <cell r="E2222" t="str">
            <v>WINGER AMB TYPE C BS6 7+P AC SI</v>
          </cell>
          <cell r="F2222">
            <v>370000</v>
          </cell>
        </row>
        <row r="2223">
          <cell r="D2223" t="str">
            <v>55500335AG3RAM89</v>
          </cell>
          <cell r="E2223" t="str">
            <v>WINGER AMB TYPED BS6 8+P ACSI</v>
          </cell>
          <cell r="F2223">
            <v>370000</v>
          </cell>
        </row>
        <row r="2224">
          <cell r="D2224" t="str">
            <v>55508232AG3RAM85</v>
          </cell>
          <cell r="E2224" t="str">
            <v>WINGER AMB PT BS6 7+P AC HT SI</v>
          </cell>
          <cell r="F2224">
            <v>195630</v>
          </cell>
        </row>
        <row r="2225">
          <cell r="D2225" t="str">
            <v>55508232AG3RAMA2</v>
          </cell>
          <cell r="E2225" t="str">
            <v>WINGER AMB TYPEB BS6 7+P AC SI</v>
          </cell>
          <cell r="F2225">
            <v>265856</v>
          </cell>
        </row>
        <row r="2226">
          <cell r="D2226" t="str">
            <v>55506535AC5RMM30</v>
          </cell>
          <cell r="E2226" t="str">
            <v>WINGER FL 3488 HR 12S</v>
          </cell>
          <cell r="F2226">
            <v>81144.95</v>
          </cell>
        </row>
        <row r="2227">
          <cell r="D2227" t="str">
            <v>55500335AG3RAM90</v>
          </cell>
          <cell r="E2227" t="str">
            <v>WINGER AMB TYPE C BS6 7+P AC SI</v>
          </cell>
          <cell r="F2227">
            <v>363992</v>
          </cell>
        </row>
        <row r="2228">
          <cell r="D2228" t="str">
            <v>55508232AG3RAMA2</v>
          </cell>
          <cell r="E2228" t="str">
            <v>WINGER AMB TYPEB BS6 7+P AC SI</v>
          </cell>
          <cell r="F2228">
            <v>265856</v>
          </cell>
        </row>
        <row r="2229">
          <cell r="D2229" t="str">
            <v>55500335AG3RAM95</v>
          </cell>
          <cell r="E2229" t="str">
            <v>WINGER AMB TYPED BS6 8+P ACSI</v>
          </cell>
          <cell r="F2229">
            <v>533134</v>
          </cell>
        </row>
        <row r="2230">
          <cell r="D2230" t="str">
            <v>55508232AG3RMM29</v>
          </cell>
          <cell r="E2230" t="str">
            <v>VETERINARY VAN WINGER BS6</v>
          </cell>
          <cell r="F2230">
            <v>247146</v>
          </cell>
        </row>
        <row r="2231">
          <cell r="D2231" t="str">
            <v>55500335AG3RMM28</v>
          </cell>
          <cell r="E2231" t="str">
            <v>WINGER 35 WB FORENSIC VAN</v>
          </cell>
          <cell r="F2231">
            <v>396216</v>
          </cell>
        </row>
        <row r="2232">
          <cell r="D2232" t="str">
            <v>55507235AG3RAM96</v>
          </cell>
          <cell r="E2232" t="str">
            <v>WINGER AMB TYPED BS6 8+P ACSI</v>
          </cell>
          <cell r="F2232">
            <v>910581</v>
          </cell>
        </row>
        <row r="2233">
          <cell r="D2233" t="str">
            <v>55500335AG3RAM89</v>
          </cell>
          <cell r="E2233" t="str">
            <v>WINGER AMB TYPED BS6 8+P ACSI</v>
          </cell>
          <cell r="F2233">
            <v>370000</v>
          </cell>
        </row>
        <row r="2234">
          <cell r="D2234" t="str">
            <v>55500335AG3RAM96</v>
          </cell>
          <cell r="E2234" t="str">
            <v>55500335AG3RAM96</v>
          </cell>
          <cell r="F2234">
            <v>910581</v>
          </cell>
        </row>
        <row r="2235">
          <cell r="D2235" t="str">
            <v>55508232AG3RAM85</v>
          </cell>
          <cell r="E2235" t="str">
            <v>WINGER AMB PT BS6 7+P AC HT SI</v>
          </cell>
          <cell r="F2235">
            <v>195630</v>
          </cell>
        </row>
        <row r="2236">
          <cell r="D2236" t="str">
            <v>55500335AG3RAMA5</v>
          </cell>
          <cell r="E2236" t="str">
            <v>55500335AG3RAMA5</v>
          </cell>
          <cell r="F2236">
            <v>528929</v>
          </cell>
        </row>
        <row r="2237">
          <cell r="D2237">
            <v>550749200119</v>
          </cell>
          <cell r="E2237" t="str">
            <v>ASSEMBLY SUPPORT BRACKET</v>
          </cell>
          <cell r="F2237">
            <v>50.32</v>
          </cell>
        </row>
        <row r="2238">
          <cell r="D2238">
            <v>265332100115</v>
          </cell>
          <cell r="E2238" t="str">
            <v>UPPER WISHBONE ASSY,LH</v>
          </cell>
          <cell r="F2238">
            <v>1564.23</v>
          </cell>
        </row>
        <row r="2239">
          <cell r="D2239">
            <v>264330100127</v>
          </cell>
          <cell r="E2239" t="str">
            <v>ASSY.PEDAL LEVER WITH ACCL. PEDAL</v>
          </cell>
          <cell r="F2239">
            <v>91.02</v>
          </cell>
        </row>
        <row r="2240">
          <cell r="D2240">
            <v>265332100114</v>
          </cell>
          <cell r="E2240" t="str">
            <v>UPPER WISHBONE ASSY,RH</v>
          </cell>
          <cell r="F2240">
            <v>1564.23</v>
          </cell>
        </row>
        <row r="2241">
          <cell r="D2241">
            <v>265332100136</v>
          </cell>
          <cell r="E2241" t="str">
            <v>UPPER WISHBONE ASSY WITH BUSH,RH</v>
          </cell>
          <cell r="F2241">
            <v>1368.12</v>
          </cell>
        </row>
        <row r="2242">
          <cell r="D2242">
            <v>267462100124</v>
          </cell>
          <cell r="E2242" t="str">
            <v>SUPPORT ASSY,CROSS MEMBER,RH</v>
          </cell>
          <cell r="F2242">
            <v>79.77</v>
          </cell>
        </row>
        <row r="2243">
          <cell r="D2243">
            <v>555547500107</v>
          </cell>
          <cell r="E2243" t="str">
            <v>ARRESTOR ASSY</v>
          </cell>
          <cell r="F2243">
            <v>148.44999999999999</v>
          </cell>
        </row>
        <row r="2244">
          <cell r="D2244">
            <v>265442700178</v>
          </cell>
          <cell r="E2244" t="str">
            <v>BRACKET ASSY,EQUALIZER</v>
          </cell>
          <cell r="F2244">
            <v>107.16</v>
          </cell>
        </row>
        <row r="2245">
          <cell r="D2245">
            <v>253409150122</v>
          </cell>
          <cell r="E2245" t="str">
            <v>BRACKET,AIR FILTER MTG</v>
          </cell>
          <cell r="F2245">
            <v>714.66</v>
          </cell>
        </row>
        <row r="2246">
          <cell r="D2246">
            <v>270829100101</v>
          </cell>
          <cell r="E2246" t="str">
            <v>BRACKET ASSY,CLUTCH BOOSTER MTG</v>
          </cell>
          <cell r="F2246">
            <v>293.62</v>
          </cell>
        </row>
        <row r="2247">
          <cell r="D2247">
            <v>265332100137</v>
          </cell>
          <cell r="E2247" t="str">
            <v>UPPER WISHBONE ASSY WITH BUSH,LH</v>
          </cell>
          <cell r="F2247">
            <v>1368.12</v>
          </cell>
        </row>
        <row r="2248">
          <cell r="D2248">
            <v>269832100137</v>
          </cell>
          <cell r="E2248" t="str">
            <v>SUB ASSY. LOWER WISHBONE LH</v>
          </cell>
          <cell r="F2248">
            <v>983.48</v>
          </cell>
        </row>
        <row r="2249">
          <cell r="D2249">
            <v>570901170105</v>
          </cell>
          <cell r="E2249" t="str">
            <v>CLAMP (FOR DIPSTICK MOUNTING)</v>
          </cell>
          <cell r="F2249">
            <v>1.79</v>
          </cell>
        </row>
        <row r="2250">
          <cell r="D2250">
            <v>282146200122</v>
          </cell>
          <cell r="E2250" t="str">
            <v>BRACKET ASSY,STG GEAR BOX MTG</v>
          </cell>
          <cell r="F2250">
            <v>886.45</v>
          </cell>
        </row>
        <row r="2251">
          <cell r="D2251">
            <v>11067010614</v>
          </cell>
          <cell r="E2251" t="str">
            <v>HEX BOLT M10X65 TS17100 10.9SS8451S2-YH</v>
          </cell>
          <cell r="F2251">
            <v>5.82</v>
          </cell>
        </row>
        <row r="2252">
          <cell r="D2252">
            <v>570650110111</v>
          </cell>
          <cell r="E2252" t="str">
            <v>BRACKET ASSY</v>
          </cell>
          <cell r="F2252">
            <v>9.1</v>
          </cell>
        </row>
        <row r="2253">
          <cell r="D2253">
            <v>11067112620</v>
          </cell>
          <cell r="E2253" t="str">
            <v>H/BOLT M12X1.5X70TS17100 10.9SS8451S2-YH</v>
          </cell>
          <cell r="F2253">
            <v>10.36</v>
          </cell>
        </row>
        <row r="2254">
          <cell r="D2254">
            <v>570650103369</v>
          </cell>
          <cell r="E2254" t="str">
            <v>BRACKET,RADIATOR BOTTOM MTG</v>
          </cell>
          <cell r="F2254">
            <v>178.58</v>
          </cell>
        </row>
        <row r="2255">
          <cell r="D2255">
            <v>278346200103</v>
          </cell>
          <cell r="E2255" t="str">
            <v>ASSY.COLUMN WITHOUT STEERING WHEEL</v>
          </cell>
          <cell r="F2255">
            <v>850.07</v>
          </cell>
        </row>
        <row r="2256">
          <cell r="D2256">
            <v>264132100103</v>
          </cell>
          <cell r="E2256" t="str">
            <v>ASSY.BRACKET FRONT SPRING (FRONT)</v>
          </cell>
          <cell r="F2256">
            <v>385.89</v>
          </cell>
        </row>
        <row r="2257">
          <cell r="D2257">
            <v>289732100131</v>
          </cell>
          <cell r="E2257" t="str">
            <v>ASSY LOWER WISHBONE COMPLETE - RH</v>
          </cell>
          <cell r="F2257">
            <v>2019.37</v>
          </cell>
        </row>
        <row r="2258">
          <cell r="D2258">
            <v>252750100351</v>
          </cell>
          <cell r="E2258" t="str">
            <v>ASSY. BRACKET RADIATOR MTG. TOP</v>
          </cell>
          <cell r="F2258">
            <v>33.24</v>
          </cell>
        </row>
        <row r="2259">
          <cell r="D2259">
            <v>289732100132</v>
          </cell>
          <cell r="E2259" t="str">
            <v>ASSY. LOWER WISHBONE COMPLETE - LH</v>
          </cell>
          <cell r="F2259">
            <v>2019.37</v>
          </cell>
        </row>
        <row r="2260">
          <cell r="D2260">
            <v>265140300132</v>
          </cell>
          <cell r="E2260" t="str">
            <v>ASSY CABLE HOLDER</v>
          </cell>
          <cell r="F2260">
            <v>9.44</v>
          </cell>
        </row>
        <row r="2261">
          <cell r="D2261">
            <v>215389100138</v>
          </cell>
          <cell r="E2261" t="str">
            <v>ASSY SUPPORT BOTTOM (MUDGUARD).</v>
          </cell>
          <cell r="F2261">
            <v>164.5</v>
          </cell>
        </row>
        <row r="2262">
          <cell r="D2262">
            <v>284562208253</v>
          </cell>
          <cell r="E2262" t="str">
            <v>DASH BOARD MTG BKT CENTER SUPPORT</v>
          </cell>
          <cell r="F2262">
            <v>13.2</v>
          </cell>
        </row>
        <row r="2263">
          <cell r="D2263">
            <v>289732100111</v>
          </cell>
          <cell r="E2263" t="str">
            <v>LOWER WISHBONE ASSY, RH,COMPLETE</v>
          </cell>
          <cell r="F2263">
            <v>2096.08</v>
          </cell>
        </row>
        <row r="2264">
          <cell r="D2264">
            <v>264130100160</v>
          </cell>
          <cell r="E2264" t="str">
            <v>ASSY.PEDAL LEVER ACCELERATOR (RHD)</v>
          </cell>
          <cell r="F2264">
            <v>38.54</v>
          </cell>
        </row>
        <row r="2265">
          <cell r="D2265">
            <v>269730100112</v>
          </cell>
          <cell r="E2265" t="str">
            <v>ACCL PEDAL ROD COML LHD</v>
          </cell>
          <cell r="F2265">
            <v>131.15</v>
          </cell>
        </row>
        <row r="2266">
          <cell r="D2266">
            <v>550854600123</v>
          </cell>
          <cell r="E2266" t="str">
            <v>BRACKET &amp; STRIP PLATE ASSY</v>
          </cell>
          <cell r="F2266">
            <v>11.76</v>
          </cell>
        </row>
        <row r="2267">
          <cell r="D2267">
            <v>550832200103</v>
          </cell>
          <cell r="E2267" t="str">
            <v>ASSY.RUBBER BUSH (DIA 22)</v>
          </cell>
          <cell r="F2267">
            <v>115.31</v>
          </cell>
        </row>
        <row r="2268">
          <cell r="D2268">
            <v>274789110145</v>
          </cell>
          <cell r="E2268" t="str">
            <v>ASSY LEVER DAMPER GUIDE COMPLETE</v>
          </cell>
          <cell r="F2268">
            <v>479.47</v>
          </cell>
        </row>
        <row r="2269">
          <cell r="D2269">
            <v>252707143306</v>
          </cell>
          <cell r="E2269" t="str">
            <v>SUPPORT BRACKET,HP LINES</v>
          </cell>
          <cell r="F2269">
            <v>14.43</v>
          </cell>
        </row>
        <row r="2270">
          <cell r="D2270">
            <v>512041303310</v>
          </cell>
          <cell r="E2270" t="str">
            <v>SPACER</v>
          </cell>
          <cell r="F2270">
            <v>83.96</v>
          </cell>
        </row>
        <row r="2271">
          <cell r="D2271">
            <v>222970150101</v>
          </cell>
          <cell r="E2271" t="str">
            <v>SUPD ASSY</v>
          </cell>
          <cell r="F2271">
            <v>824.95</v>
          </cell>
        </row>
        <row r="2272">
          <cell r="D2272">
            <v>264130100153</v>
          </cell>
          <cell r="E2272" t="str">
            <v>SSY.BRACKET WITH PEDAL LEVER</v>
          </cell>
          <cell r="F2272">
            <v>169.08</v>
          </cell>
        </row>
        <row r="2273">
          <cell r="D2273">
            <v>278329100128</v>
          </cell>
          <cell r="E2273" t="str">
            <v>ASSY BRAKE PEDAL COMPLETE</v>
          </cell>
          <cell r="F2273">
            <v>130.01</v>
          </cell>
        </row>
        <row r="2274">
          <cell r="D2274">
            <v>264130100159</v>
          </cell>
          <cell r="E2274" t="str">
            <v>ASSY ACCELERATOR PEDAL WITH BRACKET</v>
          </cell>
          <cell r="F2274">
            <v>152.07</v>
          </cell>
        </row>
        <row r="2275">
          <cell r="D2275">
            <v>282132100112</v>
          </cell>
          <cell r="E2275" t="str">
            <v>ASSY FRONT BRACKET (FOR FRONT SPRING)</v>
          </cell>
          <cell r="F2275">
            <v>437.49</v>
          </cell>
        </row>
        <row r="2276">
          <cell r="D2276">
            <v>550732400124</v>
          </cell>
          <cell r="E2276" t="str">
            <v>ASSY.SHACKLE (REAR SPRING)</v>
          </cell>
          <cell r="F2276">
            <v>441.48</v>
          </cell>
        </row>
        <row r="2277">
          <cell r="D2277">
            <v>550742400105</v>
          </cell>
          <cell r="E2277" t="str">
            <v>BRACKET ASSY LCRV PULL ROD</v>
          </cell>
          <cell r="F2277">
            <v>21.46</v>
          </cell>
        </row>
        <row r="2278">
          <cell r="D2278">
            <v>219089100104</v>
          </cell>
          <cell r="E2278" t="str">
            <v>ASSY.MUDGUARD SUPPORT LH</v>
          </cell>
          <cell r="F2278">
            <v>164.23</v>
          </cell>
        </row>
        <row r="2279">
          <cell r="D2279">
            <v>217946200108</v>
          </cell>
          <cell r="E2279" t="str">
            <v>ASSEMBLY BRACKET STG. GB MOUNTING</v>
          </cell>
          <cell r="F2279">
            <v>1439.38</v>
          </cell>
        </row>
        <row r="2280">
          <cell r="D2280">
            <v>511870110203</v>
          </cell>
          <cell r="E2280" t="str">
            <v>SUPD ASSY,RH</v>
          </cell>
          <cell r="F2280">
            <v>1268.02</v>
          </cell>
        </row>
        <row r="2281">
          <cell r="D2281">
            <v>585888210124</v>
          </cell>
          <cell r="E2281" t="str">
            <v>PIPE ASSY,FENDER REAR-RH</v>
          </cell>
          <cell r="F2281">
            <v>787.62</v>
          </cell>
        </row>
        <row r="2282">
          <cell r="D2282">
            <v>222870150155</v>
          </cell>
          <cell r="E2282" t="str">
            <v>SUPD ASSY,RH</v>
          </cell>
          <cell r="F2282">
            <v>1117.27</v>
          </cell>
        </row>
        <row r="2283">
          <cell r="D2283">
            <v>277842300161</v>
          </cell>
          <cell r="E2283" t="str">
            <v>ASSY CHAMBER MOUNTING BRACKET RH AAL</v>
          </cell>
          <cell r="F2283">
            <v>407.13</v>
          </cell>
        </row>
        <row r="2284">
          <cell r="D2284">
            <v>282140300110</v>
          </cell>
          <cell r="E2284" t="str">
            <v>ASSY.BRACKET</v>
          </cell>
          <cell r="F2284">
            <v>81.069999999999993</v>
          </cell>
        </row>
        <row r="2285">
          <cell r="D2285">
            <v>550247100113</v>
          </cell>
          <cell r="E2285" t="str">
            <v>ASSY FUEL FILTER MTG BKT</v>
          </cell>
          <cell r="F2285">
            <v>56.23</v>
          </cell>
        </row>
        <row r="2286">
          <cell r="D2286">
            <v>265129100179</v>
          </cell>
          <cell r="E2286" t="str">
            <v>ASSY CLUTCH PEDAL(KAIZEN)</v>
          </cell>
          <cell r="F2286">
            <v>128.84</v>
          </cell>
        </row>
        <row r="2287">
          <cell r="D2287">
            <v>265432130165</v>
          </cell>
          <cell r="E2287" t="str">
            <v>ASSY LOWER WISHBONE COMP LH(MECH STG)</v>
          </cell>
          <cell r="F2287">
            <v>1136.52</v>
          </cell>
        </row>
        <row r="2288">
          <cell r="D2288">
            <v>550754510103</v>
          </cell>
          <cell r="E2288" t="str">
            <v>BRACKET ASSY(MAXI-FUSE BOX MTG FOR LPT)</v>
          </cell>
          <cell r="F2288">
            <v>104.75</v>
          </cell>
        </row>
        <row r="2289">
          <cell r="D2289">
            <v>274760100103</v>
          </cell>
          <cell r="E2289" t="str">
            <v>ASSY.SUPPORT FRONT GRILL</v>
          </cell>
          <cell r="F2289">
            <v>1141.42</v>
          </cell>
        </row>
        <row r="2290">
          <cell r="D2290">
            <v>282140300108</v>
          </cell>
          <cell r="E2290" t="str">
            <v>ASSY.SPARE WHEEL CARRIER</v>
          </cell>
          <cell r="F2290">
            <v>965.36</v>
          </cell>
        </row>
        <row r="2291">
          <cell r="D2291">
            <v>265132100146</v>
          </cell>
          <cell r="E2291" t="str">
            <v>ASSY. SHACKLE (FRONT SPRING)</v>
          </cell>
          <cell r="F2291">
            <v>110.16</v>
          </cell>
        </row>
        <row r="2292">
          <cell r="D2292">
            <v>550740300111</v>
          </cell>
          <cell r="E2292" t="str">
            <v>SPARE WHEEL CARRIER ASSY.</v>
          </cell>
          <cell r="F2292">
            <v>1345.33</v>
          </cell>
        </row>
        <row r="2293">
          <cell r="D2293">
            <v>278620143301</v>
          </cell>
          <cell r="E2293" t="str">
            <v>BRACKET-RH (FOR FAN RING BOTTOM MTG) (B)</v>
          </cell>
          <cell r="F2293">
            <v>21.3</v>
          </cell>
        </row>
        <row r="2294">
          <cell r="D2294">
            <v>264729100116</v>
          </cell>
          <cell r="E2294" t="str">
            <v>ASSY. CLUTCH PEDAL WITH RUBBER COVER</v>
          </cell>
          <cell r="F2294">
            <v>128.72999999999999</v>
          </cell>
        </row>
        <row r="2295">
          <cell r="D2295">
            <v>290070100108</v>
          </cell>
          <cell r="E2295" t="str">
            <v>SUPD ASSY</v>
          </cell>
          <cell r="F2295">
            <v>827.65</v>
          </cell>
        </row>
        <row r="2296">
          <cell r="D2296">
            <v>264729100117</v>
          </cell>
          <cell r="E2296" t="str">
            <v>ASSY. BRAKE PEDAL WITH RUBBER COVER</v>
          </cell>
          <cell r="F2296">
            <v>125.39</v>
          </cell>
        </row>
        <row r="2297">
          <cell r="D2297">
            <v>886383000570</v>
          </cell>
          <cell r="E2297" t="str">
            <v>JUBILEE CLIPS BS6-PH2</v>
          </cell>
          <cell r="F2297">
            <v>95.68</v>
          </cell>
        </row>
        <row r="2298">
          <cell r="D2298">
            <v>886383000569</v>
          </cell>
          <cell r="E2298" t="str">
            <v>HEATER HOSE 5/8 INCH 2440 MM BS6-PH2</v>
          </cell>
          <cell r="F2298">
            <v>1142.5999999999999</v>
          </cell>
        </row>
        <row r="2299">
          <cell r="D2299">
            <v>886383000568</v>
          </cell>
          <cell r="E2299" t="str">
            <v>HEATER HOSE 5/8 INCH 1560 MM BS6-PH2</v>
          </cell>
          <cell r="F2299">
            <v>1350</v>
          </cell>
        </row>
        <row r="2300">
          <cell r="D2300">
            <v>886383000567</v>
          </cell>
          <cell r="E2300" t="str">
            <v>HOSE PUMP OUTLET BS6-PH2</v>
          </cell>
          <cell r="F2300">
            <v>2189.13</v>
          </cell>
        </row>
        <row r="2301">
          <cell r="D2301">
            <v>886383000566</v>
          </cell>
          <cell r="E2301" t="str">
            <v>HOSE PUMP INLET BS6-PH2</v>
          </cell>
          <cell r="F2301">
            <v>1628.6</v>
          </cell>
        </row>
        <row r="2302">
          <cell r="D2302">
            <v>264189100182</v>
          </cell>
          <cell r="E2302" t="str">
            <v>ASSEMBLY BRACKET UPPER (CHASSIS SIDE)</v>
          </cell>
          <cell r="F2302">
            <v>80.28</v>
          </cell>
        </row>
        <row r="2303">
          <cell r="D2303">
            <v>284547508213</v>
          </cell>
          <cell r="E2303" t="str">
            <v>FILTER MTG BKT</v>
          </cell>
          <cell r="F2303">
            <v>16.32</v>
          </cell>
        </row>
        <row r="2304">
          <cell r="D2304">
            <v>266433758205</v>
          </cell>
          <cell r="E2304" t="str">
            <v>SEAL HOLDER (INNER).</v>
          </cell>
          <cell r="F2304">
            <v>46.99</v>
          </cell>
        </row>
        <row r="2305">
          <cell r="D2305">
            <v>570614110140</v>
          </cell>
          <cell r="E2305" t="str">
            <v>BRACKET (VACUUM RESERVIOR)</v>
          </cell>
          <cell r="F2305">
            <v>33.49</v>
          </cell>
        </row>
        <row r="2306">
          <cell r="D2306">
            <v>282147500155</v>
          </cell>
          <cell r="E2306" t="str">
            <v>GUARD ASSY,GAS CYLINDER</v>
          </cell>
          <cell r="F2306">
            <v>143.91999999999999</v>
          </cell>
        </row>
        <row r="2307">
          <cell r="D2307">
            <v>552730100103</v>
          </cell>
          <cell r="E2307" t="str">
            <v>ASSY. PEDAL WITH ACC. PEDAL</v>
          </cell>
          <cell r="F2307">
            <v>118.3</v>
          </cell>
        </row>
        <row r="2308">
          <cell r="D2308">
            <v>265129100199</v>
          </cell>
          <cell r="E2308" t="str">
            <v>ASSY. BRAKE PEDAL (KAIZEN)</v>
          </cell>
          <cell r="F2308">
            <v>137.41</v>
          </cell>
        </row>
        <row r="2309">
          <cell r="D2309">
            <v>222970010140</v>
          </cell>
          <cell r="E2309" t="str">
            <v>SUPD ASSY</v>
          </cell>
          <cell r="F2309">
            <v>490.09</v>
          </cell>
        </row>
        <row r="2310">
          <cell r="D2310">
            <v>290070100111</v>
          </cell>
          <cell r="E2310" t="str">
            <v>SUPD ASSY,LH</v>
          </cell>
          <cell r="F2310">
            <v>1455.97</v>
          </cell>
        </row>
        <row r="2311">
          <cell r="D2311">
            <v>886383000565</v>
          </cell>
          <cell r="E2311" t="str">
            <v>COOLANT PUMP RU464001 BS6-PH2</v>
          </cell>
          <cell r="F2311">
            <v>16580</v>
          </cell>
        </row>
        <row r="2312">
          <cell r="D2312">
            <v>886383000564</v>
          </cell>
          <cell r="E2312" t="str">
            <v>HEATER UNIT NM627001 BS6-PH2</v>
          </cell>
          <cell r="F2312">
            <v>33900</v>
          </cell>
        </row>
        <row r="2313">
          <cell r="D2313">
            <v>552970100179</v>
          </cell>
          <cell r="E2313" t="str">
            <v>SUPD ASSY,LH</v>
          </cell>
          <cell r="F2313">
            <v>1881.34</v>
          </cell>
        </row>
        <row r="2314">
          <cell r="D2314">
            <v>289883753303</v>
          </cell>
          <cell r="E2314" t="str">
            <v>BRACKET,HEATER HOSE MTG</v>
          </cell>
          <cell r="F2314">
            <v>37.92</v>
          </cell>
        </row>
        <row r="2315">
          <cell r="D2315">
            <v>585888400129</v>
          </cell>
          <cell r="E2315" t="str">
            <v>BRACKET ASSY,HINGE SUPPORT</v>
          </cell>
          <cell r="F2315">
            <v>20.63</v>
          </cell>
        </row>
        <row r="2316">
          <cell r="D2316">
            <v>552970100126</v>
          </cell>
          <cell r="E2316" t="str">
            <v>SUPD ASSY,LH</v>
          </cell>
          <cell r="F2316">
            <v>1316.2</v>
          </cell>
        </row>
        <row r="2317">
          <cell r="D2317">
            <v>552970100127</v>
          </cell>
          <cell r="E2317" t="str">
            <v>SUPD ASSY,LH</v>
          </cell>
          <cell r="F2317">
            <v>1969.89</v>
          </cell>
        </row>
        <row r="2318">
          <cell r="D2318">
            <v>289829100128</v>
          </cell>
          <cell r="E2318" t="str">
            <v>CLUTCH PEDAL ASSY WITH PEDAL BOX</v>
          </cell>
          <cell r="F2318">
            <v>507.89</v>
          </cell>
        </row>
        <row r="2319">
          <cell r="D2319">
            <v>264189120173</v>
          </cell>
          <cell r="E2319" t="str">
            <v>STUD ASSY</v>
          </cell>
          <cell r="F2319">
            <v>31.54</v>
          </cell>
        </row>
        <row r="2320">
          <cell r="D2320">
            <v>267388200106</v>
          </cell>
          <cell r="E2320" t="str">
            <v>PIPE ASSY,BOTTOM MTG,RH</v>
          </cell>
          <cell r="F2320">
            <v>243.15</v>
          </cell>
        </row>
        <row r="2321">
          <cell r="D2321">
            <v>267388200105</v>
          </cell>
          <cell r="E2321" t="str">
            <v>PIPE ASSY,BOTTOM MTG,LH</v>
          </cell>
          <cell r="F2321">
            <v>243.15</v>
          </cell>
        </row>
        <row r="2322">
          <cell r="D2322">
            <v>215331700172</v>
          </cell>
          <cell r="E2322" t="str">
            <v>ASSY BRACKET COMPLETE L.H.(RUPD)</v>
          </cell>
          <cell r="F2322">
            <v>385.68</v>
          </cell>
        </row>
        <row r="2323">
          <cell r="D2323">
            <v>264130100131</v>
          </cell>
          <cell r="E2323" t="str">
            <v>ASSY.PEDAL LEVER ACCELERATOR-LHD.</v>
          </cell>
          <cell r="F2323">
            <v>39.35</v>
          </cell>
        </row>
        <row r="2324">
          <cell r="D2324">
            <v>550629500102</v>
          </cell>
          <cell r="E2324" t="str">
            <v>BRACKET ASSY,BOOSTER MTG</v>
          </cell>
          <cell r="F2324">
            <v>253.36</v>
          </cell>
        </row>
        <row r="2325">
          <cell r="D2325">
            <v>886354000667</v>
          </cell>
          <cell r="E2325" t="str">
            <v>INDICATOR BLINKER LIGHT TYPE C &amp; D AMB.</v>
          </cell>
          <cell r="F2325">
            <v>875</v>
          </cell>
        </row>
        <row r="2326">
          <cell r="D2326" t="str">
            <v>2674010499R</v>
          </cell>
          <cell r="E2326" t="str">
            <v>REPAIR KIT FOR CCB ASSY FIELD FAILURE</v>
          </cell>
          <cell r="F2326">
            <v>161.24</v>
          </cell>
        </row>
        <row r="2327">
          <cell r="D2327">
            <v>267388100101</v>
          </cell>
          <cell r="E2327" t="str">
            <v>HOOK ASSY</v>
          </cell>
          <cell r="F2327">
            <v>111.36</v>
          </cell>
        </row>
        <row r="2328">
          <cell r="D2328">
            <v>570650100298</v>
          </cell>
          <cell r="E2328" t="str">
            <v>BRACKET ASSY,RADIATOR MTG,BOTTOM</v>
          </cell>
          <cell r="F2328">
            <v>328.62</v>
          </cell>
        </row>
        <row r="2329">
          <cell r="D2329">
            <v>290029200102</v>
          </cell>
          <cell r="E2329" t="str">
            <v>BRAKE PEDAL ASSY WITH BUSH</v>
          </cell>
          <cell r="F2329">
            <v>215.37</v>
          </cell>
        </row>
        <row r="2330">
          <cell r="D2330">
            <v>550654403301</v>
          </cell>
          <cell r="E2330" t="str">
            <v>BRACKET ASSY,TAIL LAMP MTG,LH</v>
          </cell>
          <cell r="F2330">
            <v>29.45</v>
          </cell>
        </row>
        <row r="2331">
          <cell r="D2331">
            <v>265488708220</v>
          </cell>
          <cell r="E2331" t="str">
            <v>BRACKET BONNET STAY ROD</v>
          </cell>
          <cell r="F2331">
            <v>1.62</v>
          </cell>
        </row>
        <row r="2332">
          <cell r="D2332">
            <v>552770160101</v>
          </cell>
          <cell r="E2332" t="str">
            <v>SUPD ASSY</v>
          </cell>
          <cell r="F2332">
            <v>903.14</v>
          </cell>
        </row>
        <row r="2333">
          <cell r="D2333">
            <v>552970100136</v>
          </cell>
          <cell r="E2333" t="str">
            <v>SUPD ASSY</v>
          </cell>
          <cell r="F2333">
            <v>1005.06</v>
          </cell>
        </row>
        <row r="2334">
          <cell r="D2334">
            <v>284529100205</v>
          </cell>
          <cell r="E2334" t="str">
            <v>CLUTCH PEDAL ASSY WITH MTG BRACKET</v>
          </cell>
          <cell r="F2334">
            <v>772.56</v>
          </cell>
        </row>
        <row r="2335">
          <cell r="D2335">
            <v>290043700101</v>
          </cell>
          <cell r="E2335" t="str">
            <v>BRACKET ASSY,APU MTG</v>
          </cell>
          <cell r="F2335">
            <v>230.77</v>
          </cell>
        </row>
        <row r="2336">
          <cell r="D2336">
            <v>550754400203</v>
          </cell>
          <cell r="E2336" t="str">
            <v>BRACKET ASSY HEADLAMP MTG RH</v>
          </cell>
          <cell r="F2336">
            <v>7.46</v>
          </cell>
        </row>
        <row r="2337">
          <cell r="D2337">
            <v>289870120103</v>
          </cell>
          <cell r="E2337" t="str">
            <v>SUPD ASSY,LH</v>
          </cell>
          <cell r="F2337">
            <v>314.73</v>
          </cell>
        </row>
        <row r="2338">
          <cell r="D2338">
            <v>267389300101</v>
          </cell>
          <cell r="E2338" t="str">
            <v>HOOK ASSY</v>
          </cell>
          <cell r="F2338">
            <v>42.15</v>
          </cell>
        </row>
        <row r="2339">
          <cell r="D2339">
            <v>265742808204</v>
          </cell>
          <cell r="E2339" t="str">
            <v>BRACKET (FRONT BRAKE HOSE)</v>
          </cell>
          <cell r="F2339">
            <v>21.46</v>
          </cell>
        </row>
        <row r="2340">
          <cell r="D2340">
            <v>222870110132</v>
          </cell>
          <cell r="E2340" t="str">
            <v>SUPD ASSY,RH</v>
          </cell>
          <cell r="F2340">
            <v>877.58</v>
          </cell>
        </row>
        <row r="2341">
          <cell r="D2341">
            <v>222870110131</v>
          </cell>
          <cell r="E2341" t="str">
            <v>SUPD ASSY,LH</v>
          </cell>
          <cell r="F2341">
            <v>886.92</v>
          </cell>
        </row>
        <row r="2342">
          <cell r="D2342">
            <v>222970130111</v>
          </cell>
          <cell r="E2342" t="str">
            <v>SUPD ASSY RH</v>
          </cell>
          <cell r="F2342">
            <v>1463.35</v>
          </cell>
        </row>
        <row r="2343">
          <cell r="D2343">
            <v>252507110103</v>
          </cell>
          <cell r="E2343" t="str">
            <v>ASSY LEVER</v>
          </cell>
          <cell r="F2343">
            <v>17.440000000000001</v>
          </cell>
        </row>
        <row r="2344">
          <cell r="D2344">
            <v>264129200109</v>
          </cell>
          <cell r="E2344" t="str">
            <v>CLUCTH PEDAL ASSY</v>
          </cell>
          <cell r="F2344">
            <v>155.63</v>
          </cell>
        </row>
        <row r="2345">
          <cell r="D2345">
            <v>222970150104</v>
          </cell>
          <cell r="E2345" t="str">
            <v>SUPD ASSY,RH</v>
          </cell>
          <cell r="F2345">
            <v>1935.25</v>
          </cell>
        </row>
        <row r="2346">
          <cell r="D2346">
            <v>278915143302</v>
          </cell>
          <cell r="E2346" t="str">
            <v>BRACKET ALTERNATOR MTG.</v>
          </cell>
          <cell r="F2346">
            <v>49.41</v>
          </cell>
        </row>
        <row r="2347">
          <cell r="D2347">
            <v>284586000127</v>
          </cell>
          <cell r="E2347" t="str">
            <v>ASSY FIRST AID BOX</v>
          </cell>
          <cell r="F2347">
            <v>471.5</v>
          </cell>
        </row>
        <row r="2348">
          <cell r="D2348">
            <v>886354000416</v>
          </cell>
          <cell r="E2348" t="str">
            <v>SHOLPHIN REVOLVING LIGHT BS6</v>
          </cell>
          <cell r="F2348">
            <v>1206</v>
          </cell>
        </row>
        <row r="2349">
          <cell r="D2349">
            <v>222970010183</v>
          </cell>
          <cell r="E2349" t="str">
            <v>BRACKET ASSY</v>
          </cell>
          <cell r="F2349">
            <v>80.150000000000006</v>
          </cell>
        </row>
        <row r="2350">
          <cell r="D2350">
            <v>222970010178</v>
          </cell>
          <cell r="E2350" t="str">
            <v>BRACKET ASSY</v>
          </cell>
          <cell r="F2350">
            <v>70.650000000000006</v>
          </cell>
        </row>
        <row r="2351">
          <cell r="D2351">
            <v>886386000005</v>
          </cell>
          <cell r="E2351" t="str">
            <v>3200 WB AMBULANCE BASE FRAME ASSY BS6</v>
          </cell>
          <cell r="F2351">
            <v>5887</v>
          </cell>
        </row>
        <row r="2352">
          <cell r="D2352">
            <v>222970408274</v>
          </cell>
          <cell r="E2352" t="str">
            <v>BRACKET</v>
          </cell>
          <cell r="F2352">
            <v>37.72</v>
          </cell>
        </row>
        <row r="2353">
          <cell r="D2353">
            <v>252722107104</v>
          </cell>
          <cell r="E2353" t="str">
            <v>LIFTING HOOK FRONT</v>
          </cell>
          <cell r="F2353">
            <v>29.97</v>
          </cell>
        </row>
        <row r="2354">
          <cell r="D2354">
            <v>552729200109</v>
          </cell>
          <cell r="E2354" t="str">
            <v>BRAKE PEDAL ASSY WITH MTG BRACKET</v>
          </cell>
          <cell r="F2354">
            <v>1189.55</v>
          </cell>
        </row>
        <row r="2355">
          <cell r="D2355">
            <v>252515140114</v>
          </cell>
          <cell r="E2355" t="str">
            <v>ASSY.BRACKET(12V65A-ALT. MTG.-LUCA)</v>
          </cell>
          <cell r="F2355">
            <v>298.47000000000003</v>
          </cell>
        </row>
        <row r="2356">
          <cell r="D2356">
            <v>585888210114</v>
          </cell>
          <cell r="E2356" t="str">
            <v>PIPE ASSY,REAR FENDER MTG,LH</v>
          </cell>
          <cell r="F2356">
            <v>892.94</v>
          </cell>
        </row>
        <row r="2357">
          <cell r="D2357">
            <v>585888200114</v>
          </cell>
          <cell r="E2357" t="str">
            <v>REAR FENDER ASSY</v>
          </cell>
          <cell r="F2357">
            <v>881.58</v>
          </cell>
        </row>
        <row r="2358">
          <cell r="D2358">
            <v>585888200102</v>
          </cell>
          <cell r="E2358" t="str">
            <v>PIPE ASSY,FENDER REAR-RH</v>
          </cell>
          <cell r="F2358">
            <v>831.47</v>
          </cell>
        </row>
        <row r="2359">
          <cell r="D2359">
            <v>585888210116</v>
          </cell>
          <cell r="E2359" t="str">
            <v>PIPE ASSY,REAR FENDER MTG,RH</v>
          </cell>
          <cell r="F2359">
            <v>785.63</v>
          </cell>
        </row>
        <row r="2360">
          <cell r="D2360">
            <v>264189108272</v>
          </cell>
          <cell r="E2360" t="str">
            <v>PLATE,CAB LOCKING MECHANISM</v>
          </cell>
          <cell r="F2360">
            <v>7.09</v>
          </cell>
        </row>
        <row r="2361">
          <cell r="D2361">
            <v>269830100132</v>
          </cell>
          <cell r="E2361" t="str">
            <v>ASSY. ACCL. ROD WITH BRACKET COMPLETE</v>
          </cell>
          <cell r="F2361">
            <v>123.75</v>
          </cell>
        </row>
        <row r="2362">
          <cell r="D2362">
            <v>550732400125</v>
          </cell>
          <cell r="E2362" t="str">
            <v>ASSY.SHACKLE WITH RUBBER BUSH</v>
          </cell>
          <cell r="F2362">
            <v>543.45000000000005</v>
          </cell>
        </row>
        <row r="2363">
          <cell r="D2363">
            <v>264189100166</v>
          </cell>
          <cell r="E2363" t="str">
            <v>SUPPORT ASSY,REAR MUDGUARD,BOTTOM-RH</v>
          </cell>
          <cell r="F2363">
            <v>204.22</v>
          </cell>
        </row>
        <row r="2364">
          <cell r="D2364">
            <v>206731207178</v>
          </cell>
          <cell r="E2364" t="str">
            <v>SUPPORT (REAR SPRING CROSS MEMBER)</v>
          </cell>
          <cell r="F2364">
            <v>217.65</v>
          </cell>
        </row>
        <row r="2365">
          <cell r="D2365">
            <v>264189110103</v>
          </cell>
          <cell r="E2365" t="str">
            <v>ASSY.CROSS TUBE (TORSION BAR) RHD</v>
          </cell>
          <cell r="F2365">
            <v>1373.62</v>
          </cell>
        </row>
        <row r="2366">
          <cell r="D2366">
            <v>215329100110</v>
          </cell>
          <cell r="E2366" t="str">
            <v>BRAKE PEDAL ASSY WITH BUSH</v>
          </cell>
          <cell r="F2366">
            <v>126.02</v>
          </cell>
        </row>
        <row r="2367">
          <cell r="D2367">
            <v>253409140330</v>
          </cell>
          <cell r="E2367" t="str">
            <v>BRACKET ASSY,AIR FILTER MTG</v>
          </cell>
          <cell r="F2367">
            <v>859.11</v>
          </cell>
        </row>
        <row r="2368">
          <cell r="D2368">
            <v>264032100105</v>
          </cell>
          <cell r="E2368" t="str">
            <v>ASSY SHACKLE WITH BUSH</v>
          </cell>
          <cell r="F2368">
            <v>221.27</v>
          </cell>
        </row>
        <row r="2369">
          <cell r="D2369">
            <v>585888200123</v>
          </cell>
          <cell r="E2369" t="str">
            <v>ASSY PIPE REAR FENDER MTG LOWER RH</v>
          </cell>
          <cell r="F2369">
            <v>384.85</v>
          </cell>
        </row>
        <row r="2370">
          <cell r="D2370">
            <v>585888200122</v>
          </cell>
          <cell r="E2370" t="str">
            <v>ASSY PIPE REAR FENDER MTG LOWER LH</v>
          </cell>
          <cell r="F2370">
            <v>356.2</v>
          </cell>
        </row>
        <row r="2371">
          <cell r="D2371">
            <v>222870110206</v>
          </cell>
          <cell r="E2371" t="str">
            <v>SUPD ASSY,LH</v>
          </cell>
          <cell r="F2371">
            <v>927.27</v>
          </cell>
        </row>
        <row r="2372">
          <cell r="D2372">
            <v>289854900111</v>
          </cell>
          <cell r="E2372" t="str">
            <v>BRACKET ASSY,ECU MTG</v>
          </cell>
          <cell r="F2372">
            <v>52.92</v>
          </cell>
        </row>
        <row r="2373">
          <cell r="D2373">
            <v>217931700123</v>
          </cell>
          <cell r="E2373" t="str">
            <v>BEAM ASSY,RUPD</v>
          </cell>
          <cell r="F2373">
            <v>1023.69</v>
          </cell>
        </row>
        <row r="2374">
          <cell r="D2374">
            <v>264130100169</v>
          </cell>
          <cell r="E2374" t="str">
            <v>ACCELERATOR PEDAL ASSY WITH MTG BRACKET</v>
          </cell>
          <cell r="F2374">
            <v>158.72999999999999</v>
          </cell>
        </row>
        <row r="2375">
          <cell r="D2375">
            <v>289732100166</v>
          </cell>
          <cell r="E2375" t="str">
            <v>UPPER WISHBONE ASSY,RH</v>
          </cell>
          <cell r="F2375">
            <v>2146.4</v>
          </cell>
        </row>
        <row r="2376">
          <cell r="D2376">
            <v>585889108205</v>
          </cell>
          <cell r="E2376" t="str">
            <v>CONNECTOR</v>
          </cell>
          <cell r="F2376">
            <v>11.12</v>
          </cell>
        </row>
        <row r="2377">
          <cell r="D2377">
            <v>585889106004</v>
          </cell>
          <cell r="E2377" t="str">
            <v>CONNECTING LINK</v>
          </cell>
          <cell r="F2377">
            <v>10.95</v>
          </cell>
        </row>
        <row r="2378">
          <cell r="D2378">
            <v>585872700118</v>
          </cell>
          <cell r="E2378" t="str">
            <v>ASSY BRACKET CARRIER PLATE DOOR</v>
          </cell>
          <cell r="F2378">
            <v>16.46</v>
          </cell>
        </row>
        <row r="2379">
          <cell r="D2379">
            <v>264189110130</v>
          </cell>
          <cell r="E2379" t="str">
            <v>SUPPORT ASSY,BOTTOM-LH</v>
          </cell>
          <cell r="F2379">
            <v>155.57</v>
          </cell>
        </row>
        <row r="2380">
          <cell r="D2380">
            <v>585888400135</v>
          </cell>
          <cell r="E2380" t="str">
            <v>BRACKET ASSY,SIDE MTG SUPPORT,RH</v>
          </cell>
          <cell r="F2380">
            <v>14.29</v>
          </cell>
        </row>
        <row r="2381">
          <cell r="D2381">
            <v>585888400134</v>
          </cell>
          <cell r="E2381" t="str">
            <v>BRACKET ASSY,SIDE MTG SUPPORT,LH</v>
          </cell>
          <cell r="F2381">
            <v>14.3</v>
          </cell>
        </row>
        <row r="2382">
          <cell r="D2382">
            <v>264329100105</v>
          </cell>
          <cell r="E2382" t="str">
            <v>ASSY CLUTCH PEDAL COMPLETE</v>
          </cell>
          <cell r="F2382">
            <v>134.06</v>
          </cell>
        </row>
        <row r="2383">
          <cell r="D2383">
            <v>215389110104</v>
          </cell>
          <cell r="E2383" t="str">
            <v>BRACKET ASSY,MUDGUARD MTG,RH</v>
          </cell>
          <cell r="F2383">
            <v>721.8</v>
          </cell>
        </row>
        <row r="2384">
          <cell r="D2384">
            <v>253425108206</v>
          </cell>
          <cell r="E2384" t="str">
            <v>COVER ( FOR INSPECTION WINDOW )</v>
          </cell>
          <cell r="F2384">
            <v>7.06</v>
          </cell>
        </row>
        <row r="2385">
          <cell r="D2385">
            <v>252520140113</v>
          </cell>
          <cell r="E2385" t="str">
            <v>ASSY BRACKET TOP-LH(FAN RING MTG)</v>
          </cell>
          <cell r="F2385">
            <v>52.79</v>
          </cell>
        </row>
        <row r="2386">
          <cell r="D2386">
            <v>284546100102</v>
          </cell>
          <cell r="E2386" t="str">
            <v>BRACKET,UPPER</v>
          </cell>
          <cell r="F2386">
            <v>85.05</v>
          </cell>
        </row>
        <row r="2387">
          <cell r="D2387">
            <v>264130100135</v>
          </cell>
          <cell r="E2387" t="str">
            <v>ASSY.PEDAL PLATE WITH COVER</v>
          </cell>
          <cell r="F2387">
            <v>67.319999999999993</v>
          </cell>
        </row>
        <row r="2388">
          <cell r="D2388">
            <v>251526718202</v>
          </cell>
          <cell r="E2388" t="str">
            <v>BALL PIECE GEAR SHIFT DOME</v>
          </cell>
          <cell r="F2388">
            <v>4.22</v>
          </cell>
        </row>
        <row r="2389">
          <cell r="D2389">
            <v>265332105101</v>
          </cell>
          <cell r="E2389" t="str">
            <v>UPPER WISHBONE RH</v>
          </cell>
          <cell r="F2389">
            <v>964.17</v>
          </cell>
        </row>
        <row r="2390">
          <cell r="D2390">
            <v>550733408207</v>
          </cell>
          <cell r="E2390" t="str">
            <v>FRONT HUB COVER</v>
          </cell>
          <cell r="F2390">
            <v>27.84</v>
          </cell>
        </row>
        <row r="2391">
          <cell r="D2391">
            <v>252520140115</v>
          </cell>
          <cell r="E2391" t="str">
            <v>ASSY.BRACKET-BOTTOM-LH(FAN RING MTG)</v>
          </cell>
          <cell r="F2391">
            <v>68.16</v>
          </cell>
        </row>
        <row r="2392">
          <cell r="D2392">
            <v>207430100104</v>
          </cell>
          <cell r="E2392" t="str">
            <v>ASSY INTERMEDIATE LEVER (B)</v>
          </cell>
          <cell r="F2392">
            <v>15.64</v>
          </cell>
        </row>
        <row r="2393">
          <cell r="D2393">
            <v>290070100114</v>
          </cell>
          <cell r="E2393" t="str">
            <v>SUPD ASSY,LH</v>
          </cell>
          <cell r="F2393">
            <v>1635.78</v>
          </cell>
        </row>
        <row r="2394">
          <cell r="D2394">
            <v>290070100112</v>
          </cell>
          <cell r="E2394" t="str">
            <v>SUPD ASSY,RH</v>
          </cell>
          <cell r="F2394">
            <v>1217.32</v>
          </cell>
        </row>
        <row r="2395">
          <cell r="D2395">
            <v>253401170208</v>
          </cell>
          <cell r="E2395" t="str">
            <v>BRACKET ASSY,DIPSTICK MTG</v>
          </cell>
          <cell r="F2395">
            <v>10.43</v>
          </cell>
        </row>
        <row r="2396">
          <cell r="D2396">
            <v>585889106950</v>
          </cell>
          <cell r="E2396" t="str">
            <v>CROSS TUBE</v>
          </cell>
          <cell r="F2396">
            <v>464.13</v>
          </cell>
        </row>
        <row r="2397">
          <cell r="D2397">
            <v>215331700171</v>
          </cell>
          <cell r="E2397" t="str">
            <v>ASSY BRACKET COMPLETE R.H.(RUPD)</v>
          </cell>
          <cell r="F2397">
            <v>385.68</v>
          </cell>
        </row>
        <row r="2398">
          <cell r="D2398">
            <v>290070100106</v>
          </cell>
          <cell r="E2398" t="str">
            <v>SUPD ASSY,LH</v>
          </cell>
          <cell r="F2398">
            <v>1846.46</v>
          </cell>
        </row>
        <row r="2399">
          <cell r="D2399">
            <v>511870110204</v>
          </cell>
          <cell r="E2399" t="str">
            <v>SUPD ASSY,LH</v>
          </cell>
          <cell r="F2399">
            <v>1268.02</v>
          </cell>
        </row>
        <row r="2400">
          <cell r="D2400">
            <v>287029106302</v>
          </cell>
          <cell r="E2400" t="str">
            <v>STAY ROD FOR ARIA (CSC 5.4 RATIO)</v>
          </cell>
          <cell r="F2400">
            <v>15.78</v>
          </cell>
        </row>
        <row r="2401">
          <cell r="D2401">
            <v>552970100139</v>
          </cell>
          <cell r="E2401" t="str">
            <v>SUPD ASSY</v>
          </cell>
          <cell r="F2401">
            <v>887.24</v>
          </cell>
        </row>
        <row r="2402">
          <cell r="D2402">
            <v>511830100101</v>
          </cell>
          <cell r="E2402" t="str">
            <v>BRACKET ASSY,ACCELERATOR PEDAL MTG</v>
          </cell>
          <cell r="F2402">
            <v>74.260000000000005</v>
          </cell>
        </row>
        <row r="2403">
          <cell r="D2403">
            <v>219029100122</v>
          </cell>
          <cell r="E2403" t="str">
            <v>CLUTCH PEDAL ASSY WITH BUSH</v>
          </cell>
          <cell r="F2403">
            <v>214.19</v>
          </cell>
        </row>
        <row r="2404">
          <cell r="D2404">
            <v>550840300118</v>
          </cell>
          <cell r="E2404" t="str">
            <v>SPARE WHEEL CARRIER ASSY</v>
          </cell>
          <cell r="F2404">
            <v>1224.42</v>
          </cell>
        </row>
        <row r="2405">
          <cell r="D2405">
            <v>552970100180</v>
          </cell>
          <cell r="E2405" t="str">
            <v>SUPD ASSY,RH</v>
          </cell>
          <cell r="F2405">
            <v>1464.18</v>
          </cell>
        </row>
        <row r="2406">
          <cell r="D2406">
            <v>222970130146</v>
          </cell>
          <cell r="E2406" t="str">
            <v>SUPD ASSY RH</v>
          </cell>
          <cell r="F2406">
            <v>2023.24</v>
          </cell>
        </row>
        <row r="2407">
          <cell r="D2407">
            <v>555570160102</v>
          </cell>
          <cell r="E2407" t="str">
            <v>SUPD ASSY</v>
          </cell>
          <cell r="F2407">
            <v>661.56</v>
          </cell>
        </row>
        <row r="2408">
          <cell r="D2408">
            <v>886354000706</v>
          </cell>
          <cell r="E2408" t="str">
            <v>ROOF LAMP WINGER BS6</v>
          </cell>
          <cell r="F2408">
            <v>865</v>
          </cell>
        </row>
        <row r="2409">
          <cell r="D2409">
            <v>886360001257</v>
          </cell>
          <cell r="E2409" t="str">
            <v>HEATER HOSE 5/8INCH 450 MM BS6</v>
          </cell>
          <cell r="F2409">
            <v>789</v>
          </cell>
        </row>
        <row r="2410">
          <cell r="D2410">
            <v>886360001258</v>
          </cell>
          <cell r="E2410" t="str">
            <v>WINGER HIGH ROOF AC TRIM COVER BS-6 BS6</v>
          </cell>
          <cell r="F2410">
            <v>2456</v>
          </cell>
        </row>
        <row r="2411">
          <cell r="D2411">
            <v>886360001259</v>
          </cell>
          <cell r="E2411" t="str">
            <v>WINGER AIR VENT BS6</v>
          </cell>
          <cell r="F2411">
            <v>230</v>
          </cell>
        </row>
        <row r="2412">
          <cell r="D2412">
            <v>886360001260</v>
          </cell>
          <cell r="E2412" t="str">
            <v>WINGER AIRVENT ASSY -GB F1652016 BS6</v>
          </cell>
          <cell r="F2412">
            <v>115</v>
          </cell>
        </row>
        <row r="2413">
          <cell r="D2413">
            <v>585888210102</v>
          </cell>
          <cell r="E2413" t="str">
            <v>ASSY PIPE RR FDR MTG UPR LWR LH(ULTRA+)</v>
          </cell>
          <cell r="F2413">
            <v>958.3</v>
          </cell>
        </row>
        <row r="2414">
          <cell r="D2414">
            <v>585888200121</v>
          </cell>
          <cell r="E2414" t="str">
            <v>ASSY BRT REAR FENDER MTG UPPER RH</v>
          </cell>
          <cell r="F2414">
            <v>248.38</v>
          </cell>
        </row>
        <row r="2415">
          <cell r="D2415">
            <v>585888200120</v>
          </cell>
          <cell r="E2415" t="str">
            <v>ASSY BRT REAR FENDER MTG UPPER LH</v>
          </cell>
          <cell r="F2415">
            <v>375.59</v>
          </cell>
        </row>
        <row r="2416">
          <cell r="D2416">
            <v>585888200182</v>
          </cell>
          <cell r="E2416" t="str">
            <v>ASSY REAR FENDER MTG UPPER RH WIDE (LHD)</v>
          </cell>
          <cell r="F2416">
            <v>380.27</v>
          </cell>
        </row>
        <row r="2417">
          <cell r="D2417">
            <v>585888200181</v>
          </cell>
          <cell r="E2417" t="str">
            <v>ASSY REAR FENDER MTG UPPER LH WIDE (LHD)</v>
          </cell>
          <cell r="F2417">
            <v>253.06</v>
          </cell>
        </row>
        <row r="2418">
          <cell r="D2418">
            <v>553246108202</v>
          </cell>
          <cell r="E2418" t="str">
            <v>COVER,STG COLUMN BELLOW</v>
          </cell>
          <cell r="F2418">
            <v>6.39</v>
          </cell>
        </row>
        <row r="2419">
          <cell r="D2419">
            <v>585888210128</v>
          </cell>
          <cell r="E2419" t="str">
            <v>REAR FENDER ASSY</v>
          </cell>
          <cell r="F2419">
            <v>882.47</v>
          </cell>
        </row>
        <row r="2420">
          <cell r="D2420">
            <v>585888210122</v>
          </cell>
          <cell r="E2420" t="str">
            <v>PIPE ASSY,FENDER REAR-LH</v>
          </cell>
          <cell r="F2420">
            <v>903.32</v>
          </cell>
        </row>
        <row r="2421">
          <cell r="D2421">
            <v>585888200101</v>
          </cell>
          <cell r="E2421" t="str">
            <v>PIPE ASSY,FENDER REAR-LH</v>
          </cell>
          <cell r="F2421">
            <v>914.55</v>
          </cell>
        </row>
        <row r="2422">
          <cell r="D2422">
            <v>274789130141</v>
          </cell>
          <cell r="E2422" t="str">
            <v>BRACKET ASSY,MUDGUARD MTG,LH</v>
          </cell>
          <cell r="F2422">
            <v>1012.63</v>
          </cell>
        </row>
        <row r="2423">
          <cell r="D2423">
            <v>269832100163</v>
          </cell>
          <cell r="E2423" t="str">
            <v>ASSY. TOP WISHBONE (W/O BALL JOINT)</v>
          </cell>
          <cell r="F2423">
            <v>611.53</v>
          </cell>
        </row>
        <row r="2424">
          <cell r="D2424">
            <v>207181808201</v>
          </cell>
          <cell r="E2424" t="str">
            <v>RADIATOR GRILL</v>
          </cell>
          <cell r="F2424">
            <v>267.95999999999998</v>
          </cell>
        </row>
        <row r="2425">
          <cell r="D2425">
            <v>222970150108</v>
          </cell>
          <cell r="E2425" t="str">
            <v>SUPD ASSY,RH</v>
          </cell>
          <cell r="F2425">
            <v>1626.97</v>
          </cell>
        </row>
        <row r="2426">
          <cell r="D2426">
            <v>222970150107</v>
          </cell>
          <cell r="E2426" t="str">
            <v>SUPD ASSY,LH</v>
          </cell>
          <cell r="F2426">
            <v>1989.18</v>
          </cell>
        </row>
        <row r="2427">
          <cell r="D2427">
            <v>222970110132</v>
          </cell>
          <cell r="E2427" t="str">
            <v>SUPD ASSY,RH</v>
          </cell>
          <cell r="F2427">
            <v>896.69</v>
          </cell>
        </row>
        <row r="2428">
          <cell r="D2428">
            <v>264189100193</v>
          </cell>
          <cell r="E2428" t="str">
            <v>TIE MEMBER ASSY,REAR MTG</v>
          </cell>
          <cell r="F2428">
            <v>241.76</v>
          </cell>
        </row>
        <row r="2429">
          <cell r="D2429">
            <v>278603114701</v>
          </cell>
          <cell r="E2429" t="str">
            <v>BOTTOM COVER (FLYWHEEL HOUSING)</v>
          </cell>
          <cell r="F2429">
            <v>9.4700000000000006</v>
          </cell>
        </row>
        <row r="2430">
          <cell r="D2430">
            <v>264189120175</v>
          </cell>
          <cell r="E2430" t="str">
            <v>NUT PLATE ASSY,CAB MTG,REAR</v>
          </cell>
          <cell r="F2430">
            <v>40.01</v>
          </cell>
        </row>
        <row r="2431">
          <cell r="D2431">
            <v>277615608202</v>
          </cell>
          <cell r="E2431" t="str">
            <v>BRACKET FOR CIGAR COIL BRANCH SUPPORT 69</v>
          </cell>
          <cell r="F2431">
            <v>3.27</v>
          </cell>
        </row>
        <row r="2432">
          <cell r="D2432">
            <v>284586100128</v>
          </cell>
          <cell r="E2432" t="str">
            <v>LOCK,STRETCHER ASSY</v>
          </cell>
          <cell r="F2432">
            <v>546</v>
          </cell>
        </row>
        <row r="2433">
          <cell r="D2433">
            <v>284586100121</v>
          </cell>
          <cell r="E2433" t="str">
            <v>LOCK STUD,STRETCHER ASSY</v>
          </cell>
          <cell r="F2433">
            <v>202.5</v>
          </cell>
        </row>
        <row r="2434">
          <cell r="D2434">
            <v>222870140208</v>
          </cell>
          <cell r="E2434" t="str">
            <v>SUPD ASSY</v>
          </cell>
          <cell r="F2434">
            <v>535.28</v>
          </cell>
        </row>
        <row r="2435">
          <cell r="D2435">
            <v>257640300111</v>
          </cell>
          <cell r="E2435" t="str">
            <v>ASSY SPARE WHEEL CARRIER</v>
          </cell>
          <cell r="F2435">
            <v>1742.28</v>
          </cell>
        </row>
        <row r="2436">
          <cell r="D2436">
            <v>886354000597</v>
          </cell>
          <cell r="E2436" t="str">
            <v>PA SYSTEM BS6</v>
          </cell>
          <cell r="F2436">
            <v>5500</v>
          </cell>
        </row>
        <row r="2437">
          <cell r="D2437">
            <v>284586100113</v>
          </cell>
          <cell r="E2437" t="str">
            <v>HEADREST LOCK,STRETCHER ASSY</v>
          </cell>
          <cell r="F2437">
            <v>268.79000000000002</v>
          </cell>
        </row>
        <row r="2438">
          <cell r="D2438">
            <v>284586100110</v>
          </cell>
          <cell r="E2438" t="str">
            <v>SAFETY LOCK,STRETCHER ASSY</v>
          </cell>
          <cell r="F2438">
            <v>278.56</v>
          </cell>
        </row>
        <row r="2439">
          <cell r="D2439">
            <v>222970160188</v>
          </cell>
          <cell r="E2439" t="str">
            <v>SUPD ASSY</v>
          </cell>
          <cell r="F2439">
            <v>1031.9100000000001</v>
          </cell>
        </row>
        <row r="2440">
          <cell r="D2440">
            <v>222970160189</v>
          </cell>
          <cell r="E2440" t="str">
            <v>SUPD ASSY</v>
          </cell>
          <cell r="F2440">
            <v>1158.8699999999999</v>
          </cell>
        </row>
        <row r="2441">
          <cell r="D2441">
            <v>267388200101</v>
          </cell>
          <cell r="E2441" t="str">
            <v>PIPE ASSY,BOTTOM MTG,LH</v>
          </cell>
          <cell r="F2441">
            <v>184.94</v>
          </cell>
        </row>
        <row r="2442">
          <cell r="D2442">
            <v>267388200102</v>
          </cell>
          <cell r="E2442" t="str">
            <v>PIPE ASSY,BOTTOM MTG,RH</v>
          </cell>
          <cell r="F2442">
            <v>184.94</v>
          </cell>
        </row>
        <row r="2443">
          <cell r="D2443">
            <v>284561600142</v>
          </cell>
          <cell r="E2443" t="str">
            <v>BRACKET ASSY,AMPLIFIER &amp; BATT CUTOFF SW</v>
          </cell>
          <cell r="F2443">
            <v>139.75</v>
          </cell>
        </row>
        <row r="2444">
          <cell r="D2444">
            <v>222870130171</v>
          </cell>
          <cell r="E2444" t="str">
            <v>SUPD ASSY,RH</v>
          </cell>
          <cell r="F2444">
            <v>2206.89</v>
          </cell>
        </row>
        <row r="2445">
          <cell r="D2445">
            <v>222870130170</v>
          </cell>
          <cell r="E2445" t="str">
            <v>SUPD ASSY,LH</v>
          </cell>
          <cell r="F2445">
            <v>2194.9499999999998</v>
          </cell>
        </row>
        <row r="2446">
          <cell r="D2446">
            <v>222870150152</v>
          </cell>
          <cell r="E2446" t="str">
            <v>SUPD ASSY,RH</v>
          </cell>
          <cell r="F2446">
            <v>1794.42</v>
          </cell>
        </row>
        <row r="2447">
          <cell r="D2447">
            <v>222870150151</v>
          </cell>
          <cell r="E2447" t="str">
            <v>SUPD ASSY,LH</v>
          </cell>
          <cell r="F2447">
            <v>1794.42</v>
          </cell>
        </row>
        <row r="2448">
          <cell r="D2448">
            <v>512049200111</v>
          </cell>
          <cell r="E2448" t="str">
            <v>BRACKET ASSY,TAIL PIPE MTG</v>
          </cell>
          <cell r="F2448">
            <v>255.84</v>
          </cell>
        </row>
        <row r="2449">
          <cell r="D2449">
            <v>222870140132</v>
          </cell>
          <cell r="E2449" t="str">
            <v>SUPD ASSY,RH</v>
          </cell>
          <cell r="F2449">
            <v>1475.97</v>
          </cell>
        </row>
        <row r="2450">
          <cell r="D2450">
            <v>284554820101</v>
          </cell>
          <cell r="E2450" t="str">
            <v>BRACKET ASSY,WASHER BOTTLE MTG</v>
          </cell>
          <cell r="F2450">
            <v>34.15</v>
          </cell>
        </row>
        <row r="2451">
          <cell r="D2451">
            <v>222970010151</v>
          </cell>
          <cell r="E2451" t="str">
            <v>SUPD ASSY,LH</v>
          </cell>
          <cell r="F2451">
            <v>810.87</v>
          </cell>
        </row>
        <row r="2452">
          <cell r="D2452">
            <v>264729200101</v>
          </cell>
          <cell r="E2452" t="str">
            <v>BRAKE PEDAL ASSY WITH BUSH</v>
          </cell>
          <cell r="F2452">
            <v>165.15</v>
          </cell>
        </row>
        <row r="2453">
          <cell r="D2453">
            <v>222870140202</v>
          </cell>
          <cell r="E2453" t="str">
            <v>SUPD ASSY RH</v>
          </cell>
          <cell r="F2453">
            <v>778.11</v>
          </cell>
        </row>
        <row r="2454">
          <cell r="D2454">
            <v>222870140201</v>
          </cell>
          <cell r="E2454" t="str">
            <v>SUPD ASSY LH</v>
          </cell>
          <cell r="F2454">
            <v>755.74</v>
          </cell>
        </row>
        <row r="2455">
          <cell r="D2455">
            <v>222870150118</v>
          </cell>
          <cell r="E2455" t="str">
            <v>SUPD ASSY,RH</v>
          </cell>
          <cell r="F2455">
            <v>1475.51</v>
          </cell>
        </row>
        <row r="2456">
          <cell r="D2456">
            <v>222870150117</v>
          </cell>
          <cell r="E2456" t="str">
            <v>SUPD ASSY,LH</v>
          </cell>
          <cell r="F2456">
            <v>1475.51</v>
          </cell>
        </row>
        <row r="2457">
          <cell r="D2457">
            <v>553229200109</v>
          </cell>
          <cell r="E2457" t="str">
            <v>BRAKE PEDAL ASSY WITH BUSH</v>
          </cell>
          <cell r="F2457">
            <v>147.65</v>
          </cell>
        </row>
        <row r="2458">
          <cell r="D2458">
            <v>282147508218</v>
          </cell>
          <cell r="E2458" t="str">
            <v>GUARD,FUEL TANK</v>
          </cell>
          <cell r="F2458">
            <v>115</v>
          </cell>
        </row>
        <row r="2459">
          <cell r="D2459">
            <v>217946200120</v>
          </cell>
          <cell r="E2459" t="str">
            <v>ASSY RES. TANK MTG. BKT.</v>
          </cell>
          <cell r="F2459">
            <v>101.39</v>
          </cell>
        </row>
        <row r="2460">
          <cell r="D2460">
            <v>222870160140</v>
          </cell>
          <cell r="E2460" t="str">
            <v>SUPD ASSY,RH</v>
          </cell>
          <cell r="F2460">
            <v>1240.8699999999999</v>
          </cell>
        </row>
        <row r="2461">
          <cell r="D2461">
            <v>222970010150</v>
          </cell>
          <cell r="E2461" t="str">
            <v>SUPD ASSY,RH</v>
          </cell>
          <cell r="F2461">
            <v>1228.75</v>
          </cell>
        </row>
        <row r="2462">
          <cell r="D2462">
            <v>222870110207</v>
          </cell>
          <cell r="E2462" t="str">
            <v>SUPD ASSY,RH</v>
          </cell>
          <cell r="F2462">
            <v>921.26</v>
          </cell>
        </row>
        <row r="2463">
          <cell r="D2463">
            <v>222870160146</v>
          </cell>
          <cell r="E2463" t="str">
            <v>SUPD ASSY</v>
          </cell>
          <cell r="F2463">
            <v>517.86</v>
          </cell>
        </row>
        <row r="2464">
          <cell r="D2464">
            <v>222970010149</v>
          </cell>
          <cell r="E2464" t="str">
            <v>SUPD ASSY,LH</v>
          </cell>
          <cell r="F2464">
            <v>1158.1400000000001</v>
          </cell>
        </row>
        <row r="2465">
          <cell r="D2465">
            <v>222870160141</v>
          </cell>
          <cell r="E2465" t="str">
            <v>SUPD ASSY,LH</v>
          </cell>
          <cell r="F2465">
            <v>1240.8699999999999</v>
          </cell>
        </row>
        <row r="2466">
          <cell r="D2466">
            <v>222970160121</v>
          </cell>
          <cell r="E2466" t="str">
            <v>SUPD ASSY</v>
          </cell>
          <cell r="F2466">
            <v>826.5</v>
          </cell>
        </row>
        <row r="2467">
          <cell r="D2467">
            <v>222970100259</v>
          </cell>
          <cell r="E2467" t="str">
            <v>SUPD ASSY</v>
          </cell>
          <cell r="F2467">
            <v>213.13</v>
          </cell>
        </row>
        <row r="2468">
          <cell r="D2468">
            <v>222970010137</v>
          </cell>
          <cell r="E2468" t="str">
            <v>SUPD ASSY</v>
          </cell>
          <cell r="F2468">
            <v>471.97</v>
          </cell>
        </row>
        <row r="2469">
          <cell r="D2469">
            <v>269932108303</v>
          </cell>
          <cell r="E2469" t="str">
            <v>SHIM 1.6 THK.</v>
          </cell>
          <cell r="F2469">
            <v>1.89</v>
          </cell>
        </row>
        <row r="2470">
          <cell r="D2470">
            <v>222870150191</v>
          </cell>
          <cell r="E2470" t="str">
            <v>SUPD ASSY</v>
          </cell>
          <cell r="F2470">
            <v>575.08000000000004</v>
          </cell>
        </row>
        <row r="2471">
          <cell r="D2471">
            <v>222870160136</v>
          </cell>
          <cell r="E2471" t="str">
            <v>SUPD ASSY,LH</v>
          </cell>
          <cell r="F2471">
            <v>883.31</v>
          </cell>
        </row>
        <row r="2472">
          <cell r="D2472">
            <v>222870160137</v>
          </cell>
          <cell r="E2472" t="str">
            <v>SUPD ASSY,RH</v>
          </cell>
          <cell r="F2472">
            <v>908.3</v>
          </cell>
        </row>
        <row r="2473">
          <cell r="D2473">
            <v>222970160107</v>
          </cell>
          <cell r="E2473" t="str">
            <v>SUPD ASSY</v>
          </cell>
          <cell r="F2473">
            <v>816.91</v>
          </cell>
        </row>
        <row r="2474">
          <cell r="D2474">
            <v>222970150123</v>
          </cell>
          <cell r="E2474" t="str">
            <v>SUPD ASSY</v>
          </cell>
          <cell r="F2474">
            <v>866.53</v>
          </cell>
        </row>
        <row r="2475">
          <cell r="D2475">
            <v>269854410110</v>
          </cell>
          <cell r="E2475" t="str">
            <v>ASSY. REVOLVING LAMP (BLUE) OFFER.</v>
          </cell>
          <cell r="F2475">
            <v>980</v>
          </cell>
        </row>
        <row r="2476">
          <cell r="D2476">
            <v>585862600119</v>
          </cell>
          <cell r="E2476" t="str">
            <v>BRACKET ASSY,CONTROL MTG</v>
          </cell>
          <cell r="F2476">
            <v>71.510000000000005</v>
          </cell>
        </row>
        <row r="2477">
          <cell r="D2477">
            <v>264189120149</v>
          </cell>
          <cell r="E2477" t="str">
            <v>LEVER ASSY,DAMPER</v>
          </cell>
          <cell r="F2477">
            <v>489.91</v>
          </cell>
        </row>
        <row r="2478">
          <cell r="D2478">
            <v>553229300106</v>
          </cell>
          <cell r="E2478" t="str">
            <v>CLUTCH PEDAL ASSY WITH BUSH</v>
          </cell>
          <cell r="F2478">
            <v>132.15</v>
          </cell>
        </row>
        <row r="2479">
          <cell r="D2479">
            <v>222970150112</v>
          </cell>
          <cell r="E2479" t="str">
            <v>SUPD ASSY,RH</v>
          </cell>
          <cell r="F2479">
            <v>1480.54</v>
          </cell>
        </row>
        <row r="2480">
          <cell r="D2480">
            <v>222970150111</v>
          </cell>
          <cell r="E2480" t="str">
            <v>SUPD ASSY,LH</v>
          </cell>
          <cell r="F2480">
            <v>1512.98</v>
          </cell>
        </row>
        <row r="2481">
          <cell r="D2481">
            <v>282140300106</v>
          </cell>
          <cell r="E2481" t="str">
            <v>ASSY SPARE WHEEL CARRIER</v>
          </cell>
          <cell r="F2481">
            <v>921.54</v>
          </cell>
        </row>
        <row r="2482">
          <cell r="D2482">
            <v>552729100120</v>
          </cell>
          <cell r="E2482" t="str">
            <v>CLUTCH PEDAL ASSY WITH BUSH</v>
          </cell>
          <cell r="F2482">
            <v>218.46</v>
          </cell>
        </row>
        <row r="2483">
          <cell r="D2483">
            <v>222970140181</v>
          </cell>
          <cell r="E2483" t="str">
            <v>SUPD ASSY</v>
          </cell>
          <cell r="F2483">
            <v>804.43</v>
          </cell>
        </row>
        <row r="2484">
          <cell r="D2484">
            <v>289732105105</v>
          </cell>
          <cell r="E2484" t="str">
            <v>UPPER WISHBONE LH</v>
          </cell>
          <cell r="F2484">
            <v>991.71</v>
          </cell>
        </row>
        <row r="2485">
          <cell r="D2485">
            <v>289732105104</v>
          </cell>
          <cell r="E2485" t="str">
            <v>UPPER WISHBONE,RH</v>
          </cell>
          <cell r="F2485">
            <v>991.71</v>
          </cell>
        </row>
        <row r="2486">
          <cell r="D2486">
            <v>222970150106</v>
          </cell>
          <cell r="E2486" t="str">
            <v>SUPD ASSY</v>
          </cell>
          <cell r="F2486">
            <v>860.56</v>
          </cell>
        </row>
        <row r="2487">
          <cell r="D2487">
            <v>222970150120</v>
          </cell>
          <cell r="E2487" t="str">
            <v>SUPD ASSY,RH</v>
          </cell>
          <cell r="F2487">
            <v>1867.13</v>
          </cell>
        </row>
        <row r="2488">
          <cell r="D2488">
            <v>267462100112</v>
          </cell>
          <cell r="E2488" t="str">
            <v>CROSS MEMBER ASSY,DASHBOARD MTG</v>
          </cell>
          <cell r="F2488">
            <v>855.02</v>
          </cell>
        </row>
        <row r="2489">
          <cell r="D2489">
            <v>222970150115</v>
          </cell>
          <cell r="E2489" t="str">
            <v>SUPD ASSY,LH</v>
          </cell>
          <cell r="F2489">
            <v>1889.32</v>
          </cell>
        </row>
        <row r="2490">
          <cell r="D2490">
            <v>252709140354</v>
          </cell>
          <cell r="E2490" t="str">
            <v>BRACKET ASSY,AIR FILTER MTG</v>
          </cell>
          <cell r="F2490">
            <v>1429.18</v>
          </cell>
        </row>
        <row r="2491">
          <cell r="D2491">
            <v>284588300101</v>
          </cell>
          <cell r="E2491" t="str">
            <v>ASSY REAR FOOTSTEP.</v>
          </cell>
          <cell r="F2491">
            <v>1466.99</v>
          </cell>
        </row>
        <row r="2492">
          <cell r="D2492">
            <v>550754400139</v>
          </cell>
          <cell r="E2492" t="str">
            <v>ASSY HEAD LAMP MTG BRKT OUTBOARD BODY SI</v>
          </cell>
          <cell r="F2492">
            <v>87.32</v>
          </cell>
        </row>
        <row r="2493">
          <cell r="D2493">
            <v>289831900103</v>
          </cell>
          <cell r="E2493" t="str">
            <v>STONE GUARD ASSY</v>
          </cell>
          <cell r="F2493">
            <v>249.27</v>
          </cell>
        </row>
        <row r="2494">
          <cell r="D2494">
            <v>552970100121</v>
          </cell>
          <cell r="E2494" t="str">
            <v>SUPD ASSY,LH</v>
          </cell>
          <cell r="F2494">
            <v>1207.52</v>
          </cell>
        </row>
        <row r="2495">
          <cell r="D2495">
            <v>552970100122</v>
          </cell>
          <cell r="E2495" t="str">
            <v>SUPD ASSY,RH</v>
          </cell>
          <cell r="F2495">
            <v>1207.52</v>
          </cell>
        </row>
        <row r="2496">
          <cell r="D2496">
            <v>886354000707</v>
          </cell>
          <cell r="E2496" t="str">
            <v>DOOR LIGHT BS6-PH2</v>
          </cell>
          <cell r="F2496">
            <v>785</v>
          </cell>
        </row>
        <row r="2497">
          <cell r="D2497">
            <v>886354000708</v>
          </cell>
          <cell r="E2497" t="str">
            <v>ELECTRIC SWITCH BOARD 6 AMP 1 WAY BS6-PH</v>
          </cell>
          <cell r="F2497">
            <v>586</v>
          </cell>
        </row>
        <row r="2498">
          <cell r="D2498">
            <v>886354000709</v>
          </cell>
          <cell r="E2498" t="str">
            <v>MCB BS6-PH2</v>
          </cell>
          <cell r="F2498">
            <v>3450</v>
          </cell>
        </row>
        <row r="2499">
          <cell r="D2499">
            <v>886354000710</v>
          </cell>
          <cell r="E2499" t="str">
            <v>AC FUSE BOX BS6-PH2</v>
          </cell>
          <cell r="F2499">
            <v>440</v>
          </cell>
        </row>
        <row r="2500">
          <cell r="D2500">
            <v>886354000711</v>
          </cell>
          <cell r="E2500" t="str">
            <v>INVERTER 900 VA BS6-PH2</v>
          </cell>
          <cell r="F2500">
            <v>7500</v>
          </cell>
        </row>
        <row r="2501">
          <cell r="D2501">
            <v>886354000712</v>
          </cell>
          <cell r="E2501" t="str">
            <v>WIRE HARNESS BS6-PH2</v>
          </cell>
          <cell r="F2501">
            <v>6800</v>
          </cell>
        </row>
        <row r="2502">
          <cell r="D2502">
            <v>886360001263</v>
          </cell>
          <cell r="E2502" t="str">
            <v>2 SEATER SEAT BS6-PH2</v>
          </cell>
          <cell r="F2502">
            <v>5680</v>
          </cell>
        </row>
        <row r="2503">
          <cell r="D2503">
            <v>886360001264</v>
          </cell>
          <cell r="E2503" t="str">
            <v>1 SEATER SEAT BS6-PH2</v>
          </cell>
          <cell r="F2503">
            <v>4250</v>
          </cell>
        </row>
        <row r="2504">
          <cell r="D2504">
            <v>886360001265</v>
          </cell>
          <cell r="E2504" t="str">
            <v>PARTITION FRAME WITH FLAP BS6-PH2</v>
          </cell>
          <cell r="F2504">
            <v>4650</v>
          </cell>
        </row>
        <row r="2505">
          <cell r="D2505">
            <v>886360001266</v>
          </cell>
          <cell r="E2505" t="str">
            <v>FAN MTG PLATE BS6-PH2</v>
          </cell>
          <cell r="F2505">
            <v>215</v>
          </cell>
        </row>
        <row r="2506">
          <cell r="D2506">
            <v>886360001267</v>
          </cell>
          <cell r="E2506" t="str">
            <v>ROOF TOP C CHANNEL 750*50*1.6 BS6-PH2</v>
          </cell>
          <cell r="F2506">
            <v>198</v>
          </cell>
        </row>
        <row r="2507">
          <cell r="D2507">
            <v>886360001268</v>
          </cell>
          <cell r="E2507" t="str">
            <v>ROOF TOP C CHANNEL 1080*50*1.6 BS6-PH2</v>
          </cell>
          <cell r="F2507">
            <v>216</v>
          </cell>
        </row>
        <row r="2508">
          <cell r="D2508">
            <v>886360001269</v>
          </cell>
          <cell r="E2508" t="str">
            <v>SIDE PANNEL C CHANNEL 1530*80*1.6 BS6-PH</v>
          </cell>
          <cell r="F2508">
            <v>560</v>
          </cell>
        </row>
        <row r="2509">
          <cell r="D2509">
            <v>886360001270</v>
          </cell>
          <cell r="E2509" t="str">
            <v>SIDE PANNEL C CHANNEL 900*80*1.6 BS6-PH2</v>
          </cell>
          <cell r="F2509">
            <v>458</v>
          </cell>
        </row>
        <row r="2510">
          <cell r="D2510">
            <v>886360001271</v>
          </cell>
          <cell r="E2510" t="str">
            <v>SIDE PANNEL C CHANNEL 420*80*1.6 BS6-PH2</v>
          </cell>
          <cell r="F2510">
            <v>389</v>
          </cell>
        </row>
        <row r="2511">
          <cell r="D2511">
            <v>886360001272</v>
          </cell>
          <cell r="E2511" t="str">
            <v>SEAT PLATE 450*50*3 BS6-PH2</v>
          </cell>
          <cell r="F2511">
            <v>215</v>
          </cell>
        </row>
        <row r="2512">
          <cell r="D2512">
            <v>886360001273</v>
          </cell>
          <cell r="E2512" t="str">
            <v>SEAT MTG PLATE 300*150*3MM BS6-PH2</v>
          </cell>
          <cell r="F2512">
            <v>186</v>
          </cell>
        </row>
        <row r="2513">
          <cell r="D2513">
            <v>886360001284</v>
          </cell>
          <cell r="E2513" t="str">
            <v>NYLON PIPE( 8 OD ) BS6-PH2</v>
          </cell>
          <cell r="F2513">
            <v>95</v>
          </cell>
        </row>
        <row r="2514">
          <cell r="D2514">
            <v>886360001285</v>
          </cell>
          <cell r="E2514" t="str">
            <v>NYLON PIPE( 12 OD ) BS6-PH2</v>
          </cell>
          <cell r="F2514">
            <v>11</v>
          </cell>
        </row>
        <row r="2515">
          <cell r="D2515">
            <v>886360001286</v>
          </cell>
          <cell r="E2515" t="str">
            <v>MEDICAL CABINET 2 (HEADRACK) BS6-PH2</v>
          </cell>
          <cell r="F2515">
            <v>3500</v>
          </cell>
        </row>
        <row r="2516">
          <cell r="D2516">
            <v>886360001287</v>
          </cell>
          <cell r="E2516" t="str">
            <v>PARTITION WINDOW RUBBER BEEDING BS6-PH2</v>
          </cell>
          <cell r="F2516">
            <v>360</v>
          </cell>
        </row>
        <row r="2517">
          <cell r="D2517">
            <v>886360001289</v>
          </cell>
          <cell r="E2517" t="str">
            <v>LN2 CONTAINER BS6-PH2</v>
          </cell>
          <cell r="F2517">
            <v>26500</v>
          </cell>
        </row>
        <row r="2518">
          <cell r="D2518">
            <v>886360001291</v>
          </cell>
          <cell r="E2518" t="str">
            <v>ALUMINIUM DADAR PATTI BS6-PH2</v>
          </cell>
          <cell r="F2518">
            <v>650</v>
          </cell>
        </row>
        <row r="2519">
          <cell r="D2519">
            <v>886360001292</v>
          </cell>
          <cell r="E2519" t="str">
            <v>END CAP BS6-PH2</v>
          </cell>
          <cell r="F2519">
            <v>3.5</v>
          </cell>
        </row>
        <row r="2520">
          <cell r="D2520">
            <v>886360001293</v>
          </cell>
          <cell r="E2520" t="str">
            <v>PLASTIC SCREW CAP BS6-PH2</v>
          </cell>
          <cell r="F2520">
            <v>1.3</v>
          </cell>
        </row>
        <row r="2521">
          <cell r="D2521">
            <v>886360001294</v>
          </cell>
          <cell r="E2521" t="str">
            <v>PLASTIC WASHER BS6-PH2</v>
          </cell>
          <cell r="F2521">
            <v>0.68</v>
          </cell>
        </row>
        <row r="2522">
          <cell r="D2522">
            <v>886360001295</v>
          </cell>
          <cell r="E2522" t="str">
            <v>RUBBER GROMMET BS6-PH2</v>
          </cell>
          <cell r="F2522">
            <v>1.3</v>
          </cell>
        </row>
        <row r="2523">
          <cell r="D2523">
            <v>886360001296</v>
          </cell>
          <cell r="E2523" t="str">
            <v>SALINE HOOK BS6-PH2</v>
          </cell>
          <cell r="F2523">
            <v>68</v>
          </cell>
        </row>
        <row r="2524">
          <cell r="D2524">
            <v>886360001298</v>
          </cell>
          <cell r="E2524" t="str">
            <v>BAR LIGHT MTG BKT (INNER) BS6-PH2</v>
          </cell>
          <cell r="F2524">
            <v>210</v>
          </cell>
        </row>
        <row r="2525">
          <cell r="D2525">
            <v>886360001299</v>
          </cell>
          <cell r="E2525" t="str">
            <v>BACKREST MTG BKT ASSY BS6-PH2</v>
          </cell>
          <cell r="F2525">
            <v>25</v>
          </cell>
        </row>
        <row r="2526">
          <cell r="D2526">
            <v>886360001305</v>
          </cell>
          <cell r="E2526" t="str">
            <v>SEAT HOLDING BUCKLE BS6-PH2</v>
          </cell>
          <cell r="F2526">
            <v>189</v>
          </cell>
        </row>
        <row r="2527">
          <cell r="D2527">
            <v>886360001306</v>
          </cell>
          <cell r="E2527" t="str">
            <v>INNER STICKER BS6-PH2</v>
          </cell>
          <cell r="F2527">
            <v>550</v>
          </cell>
        </row>
        <row r="2528">
          <cell r="D2528">
            <v>289854603341</v>
          </cell>
          <cell r="E2528" t="str">
            <v>BRACKET,EMS WIRING HARNESS CONNECTOR MTG</v>
          </cell>
          <cell r="F2528">
            <v>16.02</v>
          </cell>
        </row>
        <row r="2529">
          <cell r="D2529">
            <v>886360001310</v>
          </cell>
          <cell r="E2529" t="str">
            <v>HEATER INLET AND OUTLET ENDS BS6</v>
          </cell>
          <cell r="F2529">
            <v>615.23</v>
          </cell>
        </row>
        <row r="2530">
          <cell r="D2530">
            <v>550829000124</v>
          </cell>
          <cell r="E2530" t="str">
            <v>BRAKE CONTROL ASSY</v>
          </cell>
          <cell r="F2530">
            <v>793.22</v>
          </cell>
        </row>
        <row r="2531">
          <cell r="D2531">
            <v>886383000572</v>
          </cell>
          <cell r="E2531" t="str">
            <v>O-RINGS 5/8 BS6-PH2</v>
          </cell>
          <cell r="F2531">
            <v>29.56</v>
          </cell>
        </row>
        <row r="2532">
          <cell r="D2532">
            <v>886383000573</v>
          </cell>
          <cell r="E2532" t="str">
            <v>O-RINGS 1/2 BS6-PH2</v>
          </cell>
          <cell r="F2532">
            <v>31.87</v>
          </cell>
        </row>
        <row r="2533">
          <cell r="D2533">
            <v>886354000677</v>
          </cell>
          <cell r="E2533" t="str">
            <v>RELAY 4 PT BS6-PH2</v>
          </cell>
          <cell r="F2533">
            <v>349.15</v>
          </cell>
        </row>
        <row r="2534">
          <cell r="D2534">
            <v>553346808201</v>
          </cell>
          <cell r="E2534" t="str">
            <v>BRKT-STRG PIPE MTG</v>
          </cell>
          <cell r="F2534">
            <v>30.98</v>
          </cell>
        </row>
        <row r="2535">
          <cell r="D2535">
            <v>886354000196</v>
          </cell>
          <cell r="E2535" t="str">
            <v>BAR LIGHT WITH SIREN BLUE COLOUR</v>
          </cell>
          <cell r="F2535">
            <v>17490</v>
          </cell>
        </row>
        <row r="2536">
          <cell r="D2536">
            <v>553242703308</v>
          </cell>
          <cell r="E2536" t="str">
            <v>BRACKET,HANDBRAKE MTG</v>
          </cell>
          <cell r="F2536">
            <v>147.08000000000001</v>
          </cell>
        </row>
        <row r="2537">
          <cell r="D2537">
            <v>570913130103</v>
          </cell>
          <cell r="E2537" t="str">
            <v>BRACKET ASSY,AIR COMPRESSOR PIPE MTG</v>
          </cell>
          <cell r="F2537">
            <v>9.59</v>
          </cell>
        </row>
        <row r="2538">
          <cell r="D2538">
            <v>550730100115</v>
          </cell>
          <cell r="E2538" t="str">
            <v>ASM.ACCELERATOR PEDAL MTG.BKT.(SECONDARY</v>
          </cell>
          <cell r="F2538">
            <v>18.98</v>
          </cell>
        </row>
        <row r="2539">
          <cell r="D2539">
            <v>219031700129</v>
          </cell>
          <cell r="E2539" t="str">
            <v>BEAM ASSY,RUPD</v>
          </cell>
          <cell r="F2539">
            <v>1980.09</v>
          </cell>
        </row>
        <row r="2540">
          <cell r="D2540">
            <v>585862600118</v>
          </cell>
          <cell r="E2540" t="str">
            <v>REINFORCEMENT ASSY,FIREWALL CTR MTG BKT</v>
          </cell>
          <cell r="F2540">
            <v>95.34</v>
          </cell>
        </row>
        <row r="2541">
          <cell r="D2541">
            <v>289732100108</v>
          </cell>
          <cell r="E2541" t="str">
            <v>LOWER WISHBONE ASSY W/O PIVOT BUSH,LH</v>
          </cell>
          <cell r="F2541">
            <v>1365.83</v>
          </cell>
        </row>
        <row r="2542">
          <cell r="D2542">
            <v>289732100107</v>
          </cell>
          <cell r="E2542" t="str">
            <v>LOWER WISHBONE ASSY, W/O PIVOT BUSH,RH</v>
          </cell>
          <cell r="F2542">
            <v>1365.83</v>
          </cell>
        </row>
        <row r="2543">
          <cell r="D2543">
            <v>289732100167</v>
          </cell>
          <cell r="E2543" t="str">
            <v>UPPER WISHBONE ASSY,LH</v>
          </cell>
          <cell r="F2543">
            <v>2155.8200000000002</v>
          </cell>
        </row>
        <row r="2544">
          <cell r="D2544">
            <v>269832409208</v>
          </cell>
          <cell r="E2544" t="str">
            <v>WASHER</v>
          </cell>
          <cell r="F2544">
            <v>2.21</v>
          </cell>
        </row>
        <row r="2545">
          <cell r="D2545">
            <v>274789100105</v>
          </cell>
          <cell r="E2545" t="str">
            <v>ASSY.CROSS TUBE</v>
          </cell>
          <cell r="F2545">
            <v>2069.8000000000002</v>
          </cell>
        </row>
        <row r="2546">
          <cell r="D2546">
            <v>222970120124</v>
          </cell>
          <cell r="E2546" t="str">
            <v>SUPD ASSY</v>
          </cell>
          <cell r="F2546">
            <v>786.53</v>
          </cell>
        </row>
        <row r="2547">
          <cell r="D2547">
            <v>222970120123</v>
          </cell>
          <cell r="E2547" t="str">
            <v>SUPD ASSY</v>
          </cell>
          <cell r="F2547">
            <v>787.38</v>
          </cell>
        </row>
        <row r="2548">
          <cell r="D2548">
            <v>585860100156</v>
          </cell>
          <cell r="E2548" t="str">
            <v>TOP RAIL ASSY,FRONT</v>
          </cell>
          <cell r="F2548">
            <v>481.01</v>
          </cell>
        </row>
        <row r="2549">
          <cell r="D2549">
            <v>264131308201</v>
          </cell>
          <cell r="E2549" t="str">
            <v>BRACKET(FRONT SPRG.BUMP STOPPER)</v>
          </cell>
          <cell r="F2549">
            <v>30.13</v>
          </cell>
        </row>
        <row r="2550">
          <cell r="D2550">
            <v>289732100163</v>
          </cell>
          <cell r="E2550" t="str">
            <v>LOWER WISHBONE ASSY,LH</v>
          </cell>
          <cell r="F2550">
            <v>1658.91</v>
          </cell>
        </row>
        <row r="2551">
          <cell r="D2551">
            <v>585889100130</v>
          </cell>
          <cell r="E2551" t="str">
            <v>ASSY FRT MTG SHEET METAL LH 850X200</v>
          </cell>
          <cell r="F2551">
            <v>980.2</v>
          </cell>
        </row>
        <row r="2552">
          <cell r="D2552">
            <v>289732100162</v>
          </cell>
          <cell r="E2552" t="str">
            <v>LOWER WISHBONE ASSY,RH</v>
          </cell>
          <cell r="F2552">
            <v>1658.91</v>
          </cell>
        </row>
        <row r="2553">
          <cell r="D2553">
            <v>555547500103</v>
          </cell>
          <cell r="E2553" t="str">
            <v>RESTRAINT ASSY</v>
          </cell>
          <cell r="F2553">
            <v>127.61</v>
          </cell>
        </row>
        <row r="2554">
          <cell r="D2554">
            <v>585860100136</v>
          </cell>
          <cell r="E2554" t="str">
            <v>CAB ASSY</v>
          </cell>
          <cell r="F2554">
            <v>70.92</v>
          </cell>
        </row>
        <row r="2555">
          <cell r="D2555">
            <v>550754400138</v>
          </cell>
          <cell r="E2555" t="str">
            <v>ASSY HEAD LAMP MTG BRKT OUTBOARD BODY SI</v>
          </cell>
          <cell r="F2555">
            <v>90.84</v>
          </cell>
        </row>
        <row r="2556">
          <cell r="D2556">
            <v>278914116905</v>
          </cell>
          <cell r="E2556" t="str">
            <v>STIFFENER,EXHAUST MANIFOLD</v>
          </cell>
          <cell r="F2556">
            <v>53.46</v>
          </cell>
        </row>
        <row r="2557">
          <cell r="D2557">
            <v>284547508212</v>
          </cell>
          <cell r="E2557" t="str">
            <v>PRIMING PUMP MTG BKT</v>
          </cell>
          <cell r="F2557">
            <v>7.36</v>
          </cell>
        </row>
        <row r="2558">
          <cell r="D2558">
            <v>222970130169</v>
          </cell>
          <cell r="E2558" t="str">
            <v>SUPD ASSY</v>
          </cell>
          <cell r="F2558">
            <v>714.93</v>
          </cell>
        </row>
        <row r="2559">
          <cell r="D2559">
            <v>264131300102</v>
          </cell>
          <cell r="E2559" t="str">
            <v>ASSY.BRACKET (FRONT SPRING BUMP STOP.)</v>
          </cell>
          <cell r="F2559">
            <v>73.03</v>
          </cell>
        </row>
        <row r="2560">
          <cell r="D2560">
            <v>585889100288</v>
          </cell>
          <cell r="E2560" t="str">
            <v>CROSS TUBE ASSY COMPLETE NRW</v>
          </cell>
          <cell r="F2560">
            <v>1794.94</v>
          </cell>
        </row>
        <row r="2561">
          <cell r="D2561">
            <v>252709140319</v>
          </cell>
          <cell r="E2561" t="str">
            <v>BRACKET, AIR FILTER MOUNTING</v>
          </cell>
          <cell r="F2561">
            <v>787.98</v>
          </cell>
        </row>
        <row r="2562">
          <cell r="D2562">
            <v>222970130149</v>
          </cell>
          <cell r="E2562" t="str">
            <v>SUPD ASSY,LH</v>
          </cell>
          <cell r="F2562">
            <v>1378.4</v>
          </cell>
        </row>
        <row r="2563">
          <cell r="D2563">
            <v>284569990101</v>
          </cell>
          <cell r="E2563" t="str">
            <v>HEADLINER BEADING ASSY</v>
          </cell>
          <cell r="F2563">
            <v>631.92999999999995</v>
          </cell>
        </row>
        <row r="2564">
          <cell r="D2564">
            <v>585888500124</v>
          </cell>
          <cell r="E2564" t="str">
            <v>BRACKET ASSY,FOOTSTEP MTG,RH</v>
          </cell>
          <cell r="F2564">
            <v>120.63</v>
          </cell>
        </row>
        <row r="2565">
          <cell r="D2565">
            <v>585888500123</v>
          </cell>
          <cell r="E2565" t="str">
            <v>BRACKET ASSY,FOOTSTEP MTG,LH</v>
          </cell>
          <cell r="F2565">
            <v>121.57</v>
          </cell>
        </row>
        <row r="2566">
          <cell r="D2566">
            <v>886354000714</v>
          </cell>
          <cell r="E2566" t="str">
            <v>BAR LIGHT (MAKE SHOLPHIN INDIA) BS6-PH2</v>
          </cell>
          <cell r="F2566">
            <v>18900</v>
          </cell>
        </row>
        <row r="2567">
          <cell r="D2567">
            <v>886360001314</v>
          </cell>
          <cell r="E2567" t="str">
            <v>FRP SQUAT BENCH 3 SEATER PANEL 1140MM LE</v>
          </cell>
          <cell r="F2567">
            <v>3825</v>
          </cell>
        </row>
        <row r="2568">
          <cell r="D2568">
            <v>284529108740</v>
          </cell>
          <cell r="E2568" t="str">
            <v>COMPRESSION SPRING</v>
          </cell>
          <cell r="F2568">
            <v>70.38</v>
          </cell>
        </row>
        <row r="2569">
          <cell r="D2569">
            <v>267389120103</v>
          </cell>
          <cell r="E2569" t="str">
            <v>LEVER ASSY,DAMPER</v>
          </cell>
          <cell r="F2569">
            <v>425.04</v>
          </cell>
        </row>
        <row r="2570">
          <cell r="D2570">
            <v>570915148201</v>
          </cell>
          <cell r="E2570" t="str">
            <v>DISTANCE PLATE,ALTERNATOR MOUNTING</v>
          </cell>
          <cell r="F2570">
            <v>9.91</v>
          </cell>
        </row>
        <row r="2571">
          <cell r="D2571">
            <v>218746200101</v>
          </cell>
          <cell r="E2571" t="str">
            <v>ASSY STEERING SPINDLE</v>
          </cell>
          <cell r="F2571">
            <v>175.04</v>
          </cell>
        </row>
        <row r="2572">
          <cell r="D2572">
            <v>585860100113</v>
          </cell>
          <cell r="E2572" t="str">
            <v>BRACKET ASSY,CAB LIFTING</v>
          </cell>
          <cell r="F2572">
            <v>86.42</v>
          </cell>
        </row>
        <row r="2573">
          <cell r="D2573">
            <v>282231700121</v>
          </cell>
          <cell r="E2573" t="str">
            <v>BRACKET ASSY,RUPD MTG,LH</v>
          </cell>
          <cell r="F2573">
            <v>160.24</v>
          </cell>
        </row>
        <row r="2574">
          <cell r="D2574">
            <v>282231700120</v>
          </cell>
          <cell r="E2574" t="str">
            <v>BRACKET ASSY,RUPD MTG,RH</v>
          </cell>
          <cell r="F2574">
            <v>160.24</v>
          </cell>
        </row>
        <row r="2575">
          <cell r="D2575">
            <v>253409140274</v>
          </cell>
          <cell r="E2575" t="str">
            <v>BRACKET,AIR FILTER MTG</v>
          </cell>
          <cell r="F2575">
            <v>769</v>
          </cell>
        </row>
        <row r="2576">
          <cell r="D2576">
            <v>272425108210</v>
          </cell>
          <cell r="E2576" t="str">
            <v>BACK COVER (ON CLUTCH HOUSING)</v>
          </cell>
          <cell r="F2576">
            <v>14.59</v>
          </cell>
        </row>
        <row r="2577">
          <cell r="D2577">
            <v>252750008240</v>
          </cell>
          <cell r="E2577" t="str">
            <v>RADIATOR MTG BRACKET (LH)</v>
          </cell>
          <cell r="F2577">
            <v>110.49</v>
          </cell>
        </row>
        <row r="2578">
          <cell r="D2578">
            <v>252750008239</v>
          </cell>
          <cell r="E2578" t="str">
            <v>BRACKET,RADIATOR MTG,RH</v>
          </cell>
          <cell r="F2578">
            <v>110.49</v>
          </cell>
        </row>
        <row r="2579">
          <cell r="D2579">
            <v>252750108264</v>
          </cell>
          <cell r="E2579" t="str">
            <v>SUPPORT PLATE (FOR COOLANT FILLING PIPE)</v>
          </cell>
          <cell r="F2579">
            <v>15.39</v>
          </cell>
        </row>
        <row r="2580">
          <cell r="D2580">
            <v>570918153302</v>
          </cell>
          <cell r="E2580" t="str">
            <v>FLANGE,OIL PUMP STRAINER</v>
          </cell>
          <cell r="F2580">
            <v>10.26</v>
          </cell>
        </row>
        <row r="2581">
          <cell r="D2581">
            <v>553040300101</v>
          </cell>
          <cell r="E2581" t="str">
            <v>SPARE WHEEL CARRIER ASSY</v>
          </cell>
          <cell r="F2581">
            <v>2251.85</v>
          </cell>
        </row>
        <row r="2582">
          <cell r="D2582">
            <v>290070100107</v>
          </cell>
          <cell r="E2582" t="str">
            <v>SUPD ASSY,RH</v>
          </cell>
          <cell r="F2582">
            <v>1773.39</v>
          </cell>
        </row>
        <row r="2583">
          <cell r="D2583">
            <v>289732100112</v>
          </cell>
          <cell r="E2583" t="str">
            <v>LOWER WISHBONE ASSY,LH,COMPLETE</v>
          </cell>
          <cell r="F2583">
            <v>2056.06</v>
          </cell>
        </row>
        <row r="2584">
          <cell r="D2584">
            <v>274789110127</v>
          </cell>
          <cell r="E2584" t="str">
            <v>ASSY PLATE BOTTOM LATCH MTG WELDED</v>
          </cell>
          <cell r="F2584">
            <v>476.44</v>
          </cell>
        </row>
        <row r="2585">
          <cell r="D2585">
            <v>222970228236</v>
          </cell>
          <cell r="E2585" t="str">
            <v>BRACKET</v>
          </cell>
          <cell r="F2585">
            <v>29.99</v>
          </cell>
        </row>
        <row r="2586">
          <cell r="D2586">
            <v>554731700111</v>
          </cell>
          <cell r="E2586" t="str">
            <v>FUPD MTG,LH</v>
          </cell>
          <cell r="F2586">
            <v>442.8</v>
          </cell>
        </row>
        <row r="2587">
          <cell r="D2587">
            <v>554731700114</v>
          </cell>
          <cell r="E2587" t="str">
            <v>CROSS BEAM ASSY,FUPD</v>
          </cell>
          <cell r="F2587">
            <v>1666.91</v>
          </cell>
        </row>
        <row r="2588">
          <cell r="D2588">
            <v>552970100186</v>
          </cell>
          <cell r="E2588" t="str">
            <v>SUPD ASSY,RH</v>
          </cell>
          <cell r="F2588">
            <v>1219.5</v>
          </cell>
        </row>
        <row r="2589">
          <cell r="D2589">
            <v>552970100185</v>
          </cell>
          <cell r="E2589" t="str">
            <v>SUPD ASSY,LH</v>
          </cell>
          <cell r="F2589">
            <v>1136.07</v>
          </cell>
        </row>
        <row r="2590">
          <cell r="D2590">
            <v>290070100110</v>
          </cell>
          <cell r="E2590" t="str">
            <v>SUPD ASSY,LH</v>
          </cell>
          <cell r="F2590">
            <v>1852.78</v>
          </cell>
        </row>
        <row r="2591">
          <cell r="D2591">
            <v>555054600170</v>
          </cell>
          <cell r="E2591" t="str">
            <v>BRACKET ASSY,CABIN FRONT CONN MTG</v>
          </cell>
          <cell r="F2591">
            <v>19.170000000000002</v>
          </cell>
        </row>
        <row r="2592">
          <cell r="D2592">
            <v>264146200180</v>
          </cell>
          <cell r="E2592" t="str">
            <v>ASSY STEERING GEAR BOX MTG BRACKET (LHD)</v>
          </cell>
          <cell r="F2592">
            <v>933.73</v>
          </cell>
        </row>
        <row r="2593">
          <cell r="D2593">
            <v>552931700105</v>
          </cell>
          <cell r="E2593" t="str">
            <v>RUPD ASSY</v>
          </cell>
          <cell r="F2593">
            <v>1552.07</v>
          </cell>
        </row>
        <row r="2594">
          <cell r="D2594">
            <v>284554201604</v>
          </cell>
          <cell r="E2594" t="str">
            <v>MBULANCE ELECTRONIC SIREN</v>
          </cell>
          <cell r="F2594">
            <v>2691.08</v>
          </cell>
        </row>
        <row r="2595">
          <cell r="D2595">
            <v>265332105102</v>
          </cell>
          <cell r="E2595" t="str">
            <v>UPPER WISHBONE LH</v>
          </cell>
          <cell r="F2595">
            <v>931.57</v>
          </cell>
        </row>
        <row r="2596">
          <cell r="D2596">
            <v>550232800103</v>
          </cell>
          <cell r="E2596" t="str">
            <v>BRACKET ASSY,ANTI ROLL BAR</v>
          </cell>
          <cell r="F2596">
            <v>56.35</v>
          </cell>
        </row>
        <row r="2597">
          <cell r="D2597">
            <v>553031700114</v>
          </cell>
          <cell r="E2597" t="str">
            <v>FUPD ASSY,CROSS BEAM</v>
          </cell>
          <cell r="F2597">
            <v>2387.1999999999998</v>
          </cell>
        </row>
        <row r="2598">
          <cell r="D2598">
            <v>553224108208</v>
          </cell>
          <cell r="E2598" t="str">
            <v>COVER PLATE</v>
          </cell>
          <cell r="F2598">
            <v>15.48</v>
          </cell>
        </row>
        <row r="2599">
          <cell r="D2599">
            <v>508949200121</v>
          </cell>
          <cell r="E2599" t="str">
            <v>BRACKET ASSY</v>
          </cell>
          <cell r="F2599">
            <v>109.63</v>
          </cell>
        </row>
        <row r="2600">
          <cell r="D2600">
            <v>289854603340</v>
          </cell>
          <cell r="E2600" t="str">
            <v>MAXI FUSE SUPPORT</v>
          </cell>
          <cell r="F2600">
            <v>3.75</v>
          </cell>
        </row>
        <row r="2601">
          <cell r="D2601">
            <v>552970100133</v>
          </cell>
          <cell r="E2601" t="str">
            <v>SUPD ASSY</v>
          </cell>
          <cell r="F2601">
            <v>972.03</v>
          </cell>
        </row>
        <row r="2602">
          <cell r="D2602">
            <v>585889100133</v>
          </cell>
          <cell r="E2602" t="str">
            <v>ASSY FRT MTG SHEET METAL RH 850X200</v>
          </cell>
          <cell r="F2602">
            <v>964.11</v>
          </cell>
        </row>
        <row r="2603">
          <cell r="D2603">
            <v>270530100108</v>
          </cell>
          <cell r="E2603" t="str">
            <v>ASSY.ACCELERATOR PEDAL WITH BRACKET</v>
          </cell>
          <cell r="F2603">
            <v>153.15</v>
          </cell>
        </row>
        <row r="2604">
          <cell r="D2604">
            <v>552970100138</v>
          </cell>
          <cell r="E2604" t="str">
            <v>SUPD ASSY,RH</v>
          </cell>
          <cell r="F2604">
            <v>1507.21</v>
          </cell>
        </row>
        <row r="2605">
          <cell r="D2605">
            <v>552970100137</v>
          </cell>
          <cell r="E2605" t="str">
            <v>SUPD ASSY,LH</v>
          </cell>
          <cell r="F2605">
            <v>1507.21</v>
          </cell>
        </row>
        <row r="2606">
          <cell r="D2606">
            <v>289854400111</v>
          </cell>
          <cell r="E2606" t="str">
            <v>BRACKET ASSY,RH</v>
          </cell>
          <cell r="F2606">
            <v>57.48</v>
          </cell>
        </row>
        <row r="2607">
          <cell r="D2607">
            <v>550654403302</v>
          </cell>
          <cell r="E2607" t="str">
            <v>BRACKET ASSY,TAIL LAMP MTG,RH</v>
          </cell>
          <cell r="F2607">
            <v>37.409999999999997</v>
          </cell>
        </row>
        <row r="2608">
          <cell r="D2608">
            <v>550840300106</v>
          </cell>
          <cell r="E2608" t="str">
            <v>SPARE WHEEL CARRIER ASSY</v>
          </cell>
          <cell r="F2608">
            <v>1240.5899999999999</v>
          </cell>
        </row>
        <row r="2609">
          <cell r="D2609">
            <v>290031700154</v>
          </cell>
          <cell r="E2609" t="str">
            <v>BRACKET ASSY,RUPD MTG,RH</v>
          </cell>
          <cell r="F2609">
            <v>527.77</v>
          </cell>
        </row>
        <row r="2610">
          <cell r="D2610">
            <v>552970100155</v>
          </cell>
          <cell r="E2610" t="str">
            <v>SUPD ASSY</v>
          </cell>
          <cell r="F2610">
            <v>983.95</v>
          </cell>
        </row>
        <row r="2611">
          <cell r="D2611">
            <v>552970100150</v>
          </cell>
          <cell r="E2611" t="str">
            <v>SUPD ASSY</v>
          </cell>
          <cell r="F2611">
            <v>1019.57</v>
          </cell>
        </row>
        <row r="2612">
          <cell r="D2612">
            <v>222970150122</v>
          </cell>
          <cell r="E2612" t="str">
            <v>SUPD ASSY</v>
          </cell>
          <cell r="F2612">
            <v>867.21</v>
          </cell>
        </row>
        <row r="2613">
          <cell r="D2613">
            <v>550829000123</v>
          </cell>
          <cell r="E2613" t="str">
            <v>CLUTCH PEDAL ASSY WITH MTG BKT</v>
          </cell>
          <cell r="F2613">
            <v>690.25</v>
          </cell>
        </row>
        <row r="2614">
          <cell r="D2614">
            <v>570614603340</v>
          </cell>
          <cell r="E2614" t="str">
            <v>BRACKET</v>
          </cell>
          <cell r="F2614">
            <v>30.5</v>
          </cell>
        </row>
        <row r="2615">
          <cell r="D2615">
            <v>550849203308</v>
          </cell>
          <cell r="E2615" t="str">
            <v>BRACKET,FRONT PIPE MTG</v>
          </cell>
          <cell r="F2615">
            <v>41.32</v>
          </cell>
        </row>
        <row r="2616">
          <cell r="D2616">
            <v>570650103359</v>
          </cell>
          <cell r="E2616" t="str">
            <v>BRACKET</v>
          </cell>
          <cell r="F2616">
            <v>131.79</v>
          </cell>
        </row>
        <row r="2617">
          <cell r="D2617">
            <v>222970011611</v>
          </cell>
          <cell r="E2617" t="str">
            <v>SUPD ASSY,LH</v>
          </cell>
          <cell r="F2617">
            <v>1743.83</v>
          </cell>
        </row>
        <row r="2618">
          <cell r="D2618">
            <v>222970011612</v>
          </cell>
          <cell r="E2618" t="str">
            <v>SUPD ASSY,RH</v>
          </cell>
          <cell r="F2618">
            <v>1319.02</v>
          </cell>
        </row>
        <row r="2619">
          <cell r="D2619">
            <v>222970100269</v>
          </cell>
          <cell r="E2619" t="str">
            <v>SUPD ASSY</v>
          </cell>
          <cell r="F2619">
            <v>273.69</v>
          </cell>
        </row>
        <row r="2620">
          <cell r="D2620">
            <v>585888210129</v>
          </cell>
          <cell r="E2620" t="str">
            <v>PIPE ASSY,REAR FENDER MTG,LH</v>
          </cell>
          <cell r="F2620">
            <v>837.74</v>
          </cell>
        </row>
        <row r="2621">
          <cell r="D2621">
            <v>585888210130</v>
          </cell>
          <cell r="E2621" t="str">
            <v>PIPE ASSY,REAR FENDER MTG,RH</v>
          </cell>
          <cell r="F2621">
            <v>980.78</v>
          </cell>
        </row>
        <row r="2622">
          <cell r="D2622">
            <v>222970160130</v>
          </cell>
          <cell r="E2622" t="str">
            <v>SUPD ASSY,LH</v>
          </cell>
          <cell r="F2622">
            <v>3663.8</v>
          </cell>
        </row>
        <row r="2623">
          <cell r="D2623">
            <v>222970160132</v>
          </cell>
          <cell r="E2623" t="str">
            <v>SUPD ASSY,RH</v>
          </cell>
          <cell r="F2623">
            <v>3006.03</v>
          </cell>
        </row>
        <row r="2624">
          <cell r="D2624">
            <v>222970160128</v>
          </cell>
          <cell r="E2624" t="str">
            <v>SUPD ASSY</v>
          </cell>
          <cell r="F2624">
            <v>916.95</v>
          </cell>
        </row>
        <row r="2625">
          <cell r="D2625">
            <v>585888210164</v>
          </cell>
          <cell r="E2625" t="str">
            <v>PIPE,REAR FENDER MTG,LH</v>
          </cell>
          <cell r="F2625">
            <v>803.34</v>
          </cell>
        </row>
        <row r="2626">
          <cell r="D2626">
            <v>585889110126</v>
          </cell>
          <cell r="E2626" t="str">
            <v>CROSS TUBE ASSY</v>
          </cell>
          <cell r="F2626">
            <v>2293.9899999999998</v>
          </cell>
        </row>
        <row r="2627">
          <cell r="D2627">
            <v>220729100111</v>
          </cell>
          <cell r="E2627" t="str">
            <v>ASSY CLUTCH PEDAL COMPLETE</v>
          </cell>
          <cell r="F2627">
            <v>156.85</v>
          </cell>
        </row>
        <row r="2628">
          <cell r="D2628">
            <v>552970100134</v>
          </cell>
          <cell r="E2628" t="str">
            <v>SUPD ASSY</v>
          </cell>
          <cell r="F2628">
            <v>1022.17</v>
          </cell>
        </row>
        <row r="2629">
          <cell r="D2629">
            <v>264140300104</v>
          </cell>
          <cell r="E2629" t="str">
            <v>ASSY.BRACKET</v>
          </cell>
          <cell r="F2629">
            <v>71.180000000000007</v>
          </cell>
        </row>
        <row r="2630">
          <cell r="D2630">
            <v>269830100105</v>
          </cell>
          <cell r="E2630" t="str">
            <v>ASSY ACC.PEDAL ROD COMP RHD</v>
          </cell>
          <cell r="F2630">
            <v>129.04</v>
          </cell>
        </row>
        <row r="2631">
          <cell r="D2631">
            <v>289870120104</v>
          </cell>
          <cell r="E2631" t="str">
            <v>SUPD ASSY,RH</v>
          </cell>
          <cell r="F2631">
            <v>315.72000000000003</v>
          </cell>
        </row>
        <row r="2632">
          <cell r="D2632">
            <v>553254500102</v>
          </cell>
          <cell r="E2632" t="str">
            <v>SWITCH,BATTERY CUT OFF-MTG BRACKET ASSY</v>
          </cell>
          <cell r="F2632">
            <v>37.22</v>
          </cell>
        </row>
        <row r="2633">
          <cell r="D2633">
            <v>265129200130</v>
          </cell>
          <cell r="E2633" t="str">
            <v>ASSY. CLUTCH PEDAL (KAIZEN)</v>
          </cell>
          <cell r="F2633">
            <v>133.06</v>
          </cell>
        </row>
        <row r="2634">
          <cell r="D2634">
            <v>252520140112</v>
          </cell>
          <cell r="E2634" t="str">
            <v>ASSY.BRACKET TOP-RH(FAN RING MTG)</v>
          </cell>
          <cell r="F2634">
            <v>51.64</v>
          </cell>
        </row>
        <row r="2635">
          <cell r="D2635">
            <v>550230100106</v>
          </cell>
          <cell r="E2635" t="str">
            <v>BRACKET ASSY,ACCELERATOR PEDAL MTG</v>
          </cell>
          <cell r="F2635">
            <v>30.81</v>
          </cell>
        </row>
        <row r="2636">
          <cell r="D2636">
            <v>3125800085</v>
          </cell>
          <cell r="E2636" t="str">
            <v>ASSY ADJUSTING FORK- FUEL INJECTION PUMP</v>
          </cell>
          <cell r="F2636">
            <v>34.700000000000003</v>
          </cell>
        </row>
        <row r="2637">
          <cell r="D2637">
            <v>252523400116</v>
          </cell>
          <cell r="E2637" t="str">
            <v>ASSY.BRACKET (ZF P/STRG.MTG.)</v>
          </cell>
          <cell r="F2637">
            <v>233.97</v>
          </cell>
        </row>
        <row r="2638">
          <cell r="D2638">
            <v>550743808203</v>
          </cell>
          <cell r="E2638" t="str">
            <v>BRACKET</v>
          </cell>
          <cell r="F2638">
            <v>9.67</v>
          </cell>
        </row>
        <row r="2639">
          <cell r="D2639">
            <v>581735608201</v>
          </cell>
          <cell r="E2639" t="str">
            <v>OIL CATCHER(RA 1068)</v>
          </cell>
          <cell r="F2639">
            <v>47.36</v>
          </cell>
        </row>
        <row r="2640">
          <cell r="D2640">
            <v>278907123301</v>
          </cell>
          <cell r="E2640" t="str">
            <v>BRACKET,HP PUMP MTG</v>
          </cell>
          <cell r="F2640">
            <v>18.100000000000001</v>
          </cell>
        </row>
        <row r="2641">
          <cell r="D2641">
            <v>264131300103</v>
          </cell>
          <cell r="E2641" t="str">
            <v>REINFORCEMENT ASSY</v>
          </cell>
          <cell r="F2641">
            <v>69.400000000000006</v>
          </cell>
        </row>
        <row r="2642">
          <cell r="D2642">
            <v>282142403301</v>
          </cell>
          <cell r="E2642" t="str">
            <v>BRACKET LCRV MTG</v>
          </cell>
          <cell r="F2642">
            <v>30.96</v>
          </cell>
        </row>
        <row r="2643">
          <cell r="D2643">
            <v>264189110175</v>
          </cell>
          <cell r="E2643" t="str">
            <v>ASSY MOUTING BRACKET REAR-LH</v>
          </cell>
          <cell r="F2643">
            <v>618.22</v>
          </cell>
        </row>
        <row r="2644">
          <cell r="D2644">
            <v>278231700139</v>
          </cell>
          <cell r="E2644" t="str">
            <v>ASSY.CHANNEL WELDED COMPLETE</v>
          </cell>
          <cell r="F2644">
            <v>1592.53</v>
          </cell>
        </row>
        <row r="2645">
          <cell r="D2645">
            <v>264189100165</v>
          </cell>
          <cell r="E2645" t="str">
            <v>SUPPORT ASSY,REAR MUDGUARD,BOTTOM-LH</v>
          </cell>
          <cell r="F2645">
            <v>194.5</v>
          </cell>
        </row>
        <row r="2646">
          <cell r="D2646">
            <v>264140300106</v>
          </cell>
          <cell r="E2646" t="str">
            <v>ASSY.SPARE WHEEL CARRIER</v>
          </cell>
          <cell r="F2646">
            <v>908.38</v>
          </cell>
        </row>
        <row r="2647">
          <cell r="D2647">
            <v>274789110189</v>
          </cell>
          <cell r="E2647" t="str">
            <v>BRACKET ASSY,MUDGUARD MTG,LH</v>
          </cell>
          <cell r="F2647">
            <v>708.83</v>
          </cell>
        </row>
        <row r="2648">
          <cell r="D2648">
            <v>570650103376</v>
          </cell>
          <cell r="E2648" t="str">
            <v>BRACKET,RADIATOR BOTTOM MTG</v>
          </cell>
          <cell r="F2648">
            <v>218.15</v>
          </cell>
        </row>
        <row r="2649">
          <cell r="D2649">
            <v>553054800103</v>
          </cell>
          <cell r="E2649" t="str">
            <v>BRACKET ASSY,SPEAKER MTG,LH</v>
          </cell>
          <cell r="F2649">
            <v>33.700000000000003</v>
          </cell>
        </row>
        <row r="2650">
          <cell r="D2650">
            <v>555470160101</v>
          </cell>
          <cell r="E2650" t="str">
            <v>SUPD ASSY</v>
          </cell>
          <cell r="F2650">
            <v>427.69</v>
          </cell>
        </row>
        <row r="2651">
          <cell r="D2651">
            <v>555470160102</v>
          </cell>
          <cell r="E2651" t="str">
            <v>SUPD ASSY</v>
          </cell>
          <cell r="F2651">
            <v>491.11</v>
          </cell>
        </row>
        <row r="2652">
          <cell r="D2652">
            <v>552970100119</v>
          </cell>
          <cell r="E2652" t="str">
            <v>SUPD ASSY,LH</v>
          </cell>
          <cell r="F2652">
            <v>1180.24</v>
          </cell>
        </row>
        <row r="2653">
          <cell r="D2653">
            <v>552970100120</v>
          </cell>
          <cell r="E2653" t="str">
            <v>SUPD ASSY,RH</v>
          </cell>
          <cell r="F2653">
            <v>1180.24</v>
          </cell>
        </row>
        <row r="2654">
          <cell r="D2654">
            <v>555470160105</v>
          </cell>
          <cell r="E2654" t="str">
            <v>SUPD ASSY,LH</v>
          </cell>
          <cell r="F2654">
            <v>758.83</v>
          </cell>
        </row>
        <row r="2655">
          <cell r="D2655">
            <v>264346700101</v>
          </cell>
          <cell r="E2655" t="str">
            <v>BRACKET ASSY,STG GEAR BOX MTG</v>
          </cell>
          <cell r="F2655">
            <v>1844.86</v>
          </cell>
        </row>
        <row r="2656">
          <cell r="D2656">
            <v>552970100183</v>
          </cell>
          <cell r="E2656" t="str">
            <v>SUPD ASSY,LH</v>
          </cell>
          <cell r="F2656">
            <v>834.95</v>
          </cell>
        </row>
        <row r="2657">
          <cell r="D2657">
            <v>222970140168</v>
          </cell>
          <cell r="E2657" t="str">
            <v>SUPD ASSY,RH</v>
          </cell>
          <cell r="F2657">
            <v>1798.52</v>
          </cell>
        </row>
        <row r="2658">
          <cell r="D2658">
            <v>280949203301</v>
          </cell>
          <cell r="E2658" t="str">
            <v>BRACKET (EXHAUST MTG.)</v>
          </cell>
          <cell r="F2658">
            <v>59.33</v>
          </cell>
        </row>
        <row r="2659">
          <cell r="D2659">
            <v>550530100101</v>
          </cell>
          <cell r="E2659" t="str">
            <v>BRACKET ASSY,ACCELEARTOR PEDAL MTG</v>
          </cell>
          <cell r="F2659">
            <v>45.45</v>
          </cell>
        </row>
        <row r="2660">
          <cell r="D2660">
            <v>552970100184</v>
          </cell>
          <cell r="E2660" t="str">
            <v>SUPD ASSY,RH</v>
          </cell>
          <cell r="F2660">
            <v>1066.67</v>
          </cell>
        </row>
        <row r="2661">
          <cell r="D2661">
            <v>222870130143</v>
          </cell>
          <cell r="E2661" t="str">
            <v>SUPD ASSY,RH</v>
          </cell>
          <cell r="F2661">
            <v>1280.43</v>
          </cell>
        </row>
        <row r="2662">
          <cell r="D2662">
            <v>222970130145</v>
          </cell>
          <cell r="E2662" t="str">
            <v>SUPD ASSY LH</v>
          </cell>
          <cell r="F2662">
            <v>1592.03</v>
          </cell>
        </row>
        <row r="2663">
          <cell r="D2663" t="str">
            <v>284569990101ZY</v>
          </cell>
          <cell r="E2663" t="str">
            <v>CLRPRT_ASY_1-HEADLINER BEADING ASSY</v>
          </cell>
          <cell r="F2663">
            <v>616.44000000000005</v>
          </cell>
        </row>
        <row r="2664">
          <cell r="D2664">
            <v>289829200118</v>
          </cell>
          <cell r="E2664" t="str">
            <v>BRAKE PEDAL ASSY WITH CONTROL MTG BKT</v>
          </cell>
          <cell r="F2664">
            <v>570</v>
          </cell>
        </row>
        <row r="2665">
          <cell r="D2665">
            <v>264189100196</v>
          </cell>
          <cell r="E2665" t="str">
            <v>ASSY.CROSS TUBE (TORSION BAR) LHD</v>
          </cell>
          <cell r="F2665">
            <v>1456.84</v>
          </cell>
        </row>
        <row r="2666">
          <cell r="D2666">
            <v>264184100103</v>
          </cell>
          <cell r="E2666" t="str">
            <v>BRACKET ASSY,HEADBOX MTG,CENTER-LH</v>
          </cell>
          <cell r="F2666">
            <v>47.93</v>
          </cell>
        </row>
        <row r="2667">
          <cell r="D2667">
            <v>264184100104</v>
          </cell>
          <cell r="E2667" t="str">
            <v>BRACKET ASSY,HEADBOX MTG,CENTER-RH</v>
          </cell>
          <cell r="F2667">
            <v>48.38</v>
          </cell>
        </row>
        <row r="2668">
          <cell r="D2668">
            <v>253409140244</v>
          </cell>
          <cell r="E2668" t="str">
            <v>SUPPORT BRACKET,DIRTY SIDE PIPE</v>
          </cell>
          <cell r="F2668">
            <v>138.09</v>
          </cell>
        </row>
        <row r="2669">
          <cell r="D2669">
            <v>222970160115</v>
          </cell>
          <cell r="E2669" t="str">
            <v>SUPD ASSY,RH</v>
          </cell>
          <cell r="F2669">
            <v>1041.8599999999999</v>
          </cell>
        </row>
        <row r="2670">
          <cell r="D2670">
            <v>222870170105</v>
          </cell>
          <cell r="E2670" t="str">
            <v>SUPD ASSY,LH</v>
          </cell>
          <cell r="F2670">
            <v>2066.58</v>
          </cell>
        </row>
        <row r="2671">
          <cell r="D2671">
            <v>585860100130</v>
          </cell>
          <cell r="E2671" t="str">
            <v>CAB ASSY</v>
          </cell>
          <cell r="F2671">
            <v>68.260000000000005</v>
          </cell>
        </row>
        <row r="2672">
          <cell r="D2672">
            <v>264032100104</v>
          </cell>
          <cell r="E2672" t="str">
            <v>ASSY. SHACKLE (FRONT SPRING)</v>
          </cell>
          <cell r="F2672">
            <v>140.01</v>
          </cell>
        </row>
        <row r="2673">
          <cell r="D2673">
            <v>289732100127</v>
          </cell>
          <cell r="E2673" t="str">
            <v>SUB ASSY. LOWER WISHBONE - RH</v>
          </cell>
          <cell r="F2673">
            <v>1041.3</v>
          </cell>
        </row>
        <row r="2674">
          <cell r="D2674">
            <v>886386000043</v>
          </cell>
          <cell r="E2674" t="str">
            <v>PULLING PLASTIC KNOB BS6</v>
          </cell>
          <cell r="F2674">
            <v>57.6</v>
          </cell>
        </row>
        <row r="2675">
          <cell r="D2675">
            <v>282646600180</v>
          </cell>
          <cell r="E2675" t="str">
            <v>ASSY.BRACKET (STG.DAMPER MTG)</v>
          </cell>
          <cell r="F2675">
            <v>51.65</v>
          </cell>
        </row>
        <row r="2676">
          <cell r="D2676">
            <v>253450103346</v>
          </cell>
          <cell r="E2676" t="str">
            <v>BRACKET,RADIATOR FRAME SIDE MTG,RH</v>
          </cell>
          <cell r="F2676">
            <v>94.82</v>
          </cell>
        </row>
        <row r="2677">
          <cell r="D2677" t="str">
            <v>55476016M10101</v>
          </cell>
          <cell r="E2677" t="str">
            <v>ROOF BOW ASSY</v>
          </cell>
          <cell r="F2677">
            <v>616.46</v>
          </cell>
        </row>
        <row r="2678">
          <cell r="D2678">
            <v>585888210155</v>
          </cell>
          <cell r="E2678" t="str">
            <v>PIPE ASSY,REAR FENDER MTG,LH</v>
          </cell>
          <cell r="F2678">
            <v>552.85</v>
          </cell>
        </row>
        <row r="2679">
          <cell r="D2679">
            <v>585888210160</v>
          </cell>
          <cell r="E2679" t="str">
            <v>BRACKET ASSY,REAR FENDER SUPPORT</v>
          </cell>
          <cell r="F2679">
            <v>20.100000000000001</v>
          </cell>
        </row>
        <row r="2680">
          <cell r="D2680">
            <v>585888210156</v>
          </cell>
          <cell r="E2680" t="str">
            <v>PIPE ASSY,REAR FENDER MTG,RH</v>
          </cell>
          <cell r="F2680">
            <v>552.86</v>
          </cell>
        </row>
        <row r="2681">
          <cell r="D2681">
            <v>253407143310</v>
          </cell>
          <cell r="E2681" t="str">
            <v>SUPPORT BRACKET,HP LINES</v>
          </cell>
          <cell r="F2681">
            <v>22.28</v>
          </cell>
        </row>
        <row r="2682">
          <cell r="D2682">
            <v>253409120198</v>
          </cell>
          <cell r="E2682" t="str">
            <v>BRACKET ASSY</v>
          </cell>
          <cell r="F2682">
            <v>23.06</v>
          </cell>
        </row>
        <row r="2683">
          <cell r="D2683">
            <v>253422120139</v>
          </cell>
          <cell r="E2683" t="str">
            <v>BRACKET ASSY,ENGINE MTG,LH</v>
          </cell>
          <cell r="F2683">
            <v>1259.98</v>
          </cell>
        </row>
        <row r="2684">
          <cell r="D2684">
            <v>253422120140</v>
          </cell>
          <cell r="E2684" t="str">
            <v>BRACKET ASSY,ENGINE MTG,RH</v>
          </cell>
          <cell r="F2684">
            <v>962.89</v>
          </cell>
        </row>
        <row r="2685">
          <cell r="D2685">
            <v>252707120104</v>
          </cell>
          <cell r="E2685" t="str">
            <v>BRACKET ASSY</v>
          </cell>
          <cell r="F2685">
            <v>82.81</v>
          </cell>
        </row>
        <row r="2686">
          <cell r="D2686">
            <v>289732101604</v>
          </cell>
          <cell r="E2686" t="str">
            <v>BUSH ASSY</v>
          </cell>
          <cell r="F2686">
            <v>143.57</v>
          </cell>
        </row>
        <row r="2687">
          <cell r="D2687">
            <v>552970100154</v>
          </cell>
          <cell r="E2687" t="str">
            <v>SUPD ASSY</v>
          </cell>
          <cell r="F2687">
            <v>823.37</v>
          </cell>
        </row>
        <row r="2688">
          <cell r="D2688" t="str">
            <v>55416100M10133</v>
          </cell>
          <cell r="E2688" t="str">
            <v>SUBSTRUCTURE ASSY WITH FLOOR</v>
          </cell>
          <cell r="F2688">
            <v>7713.81</v>
          </cell>
        </row>
        <row r="2689">
          <cell r="D2689">
            <v>503447700101</v>
          </cell>
          <cell r="E2689" t="str">
            <v>BRACKET ASSY,FILTER MTG</v>
          </cell>
          <cell r="F2689">
            <v>1006.62</v>
          </cell>
        </row>
        <row r="2690">
          <cell r="D2690">
            <v>289861200112</v>
          </cell>
          <cell r="E2690" t="str">
            <v>BRACKET ASSY</v>
          </cell>
          <cell r="F2690">
            <v>42.24</v>
          </cell>
        </row>
        <row r="2691">
          <cell r="D2691">
            <v>267462610114</v>
          </cell>
          <cell r="E2691" t="str">
            <v>BRACKET ASSY,LH</v>
          </cell>
          <cell r="F2691">
            <v>7.3</v>
          </cell>
        </row>
        <row r="2692">
          <cell r="D2692">
            <v>552729100120</v>
          </cell>
          <cell r="E2692" t="str">
            <v>CLUTCH PEDAL ASSY WITH BUSH</v>
          </cell>
          <cell r="F2692">
            <v>213.62</v>
          </cell>
        </row>
        <row r="2693">
          <cell r="D2693">
            <v>585888210164</v>
          </cell>
          <cell r="E2693" t="str">
            <v>PIPE,REAR FENDER MTG,LH</v>
          </cell>
          <cell r="F2693">
            <v>788.19</v>
          </cell>
        </row>
        <row r="2694">
          <cell r="D2694">
            <v>585889110126</v>
          </cell>
          <cell r="E2694" t="str">
            <v>CROSS TUBE ASSY</v>
          </cell>
          <cell r="F2694">
            <v>2279.21</v>
          </cell>
        </row>
        <row r="2695">
          <cell r="D2695">
            <v>284561300201</v>
          </cell>
          <cell r="E2695" t="str">
            <v>BRACKET ASSY</v>
          </cell>
          <cell r="F2695">
            <v>13.46</v>
          </cell>
        </row>
        <row r="2696">
          <cell r="D2696">
            <v>284561300207</v>
          </cell>
          <cell r="E2696" t="str">
            <v>BRACKET</v>
          </cell>
          <cell r="F2696">
            <v>14.01</v>
          </cell>
        </row>
        <row r="2697">
          <cell r="D2697">
            <v>284561300208</v>
          </cell>
          <cell r="E2697" t="str">
            <v>BRACKET ASSY</v>
          </cell>
          <cell r="F2697">
            <v>13.34</v>
          </cell>
        </row>
        <row r="2698">
          <cell r="D2698">
            <v>284561300210</v>
          </cell>
          <cell r="E2698" t="str">
            <v>BRACKET ASSY,PIPE MTG</v>
          </cell>
          <cell r="F2698">
            <v>16.89</v>
          </cell>
        </row>
        <row r="2699">
          <cell r="D2699">
            <v>264154608232</v>
          </cell>
          <cell r="E2699" t="str">
            <v>BRACKET TAIL WIREING HARNESS CLAMPING.</v>
          </cell>
          <cell r="F2699">
            <v>4.0999999999999996</v>
          </cell>
        </row>
        <row r="2700">
          <cell r="D2700">
            <v>284561300211</v>
          </cell>
          <cell r="E2700" t="str">
            <v>BRACKET ASSY,PIPE MTG</v>
          </cell>
          <cell r="F2700">
            <v>13.81</v>
          </cell>
        </row>
        <row r="2701">
          <cell r="D2701">
            <v>555054610164</v>
          </cell>
          <cell r="E2701" t="str">
            <v>BRACKET ASSY,RELAY BOX MTG</v>
          </cell>
          <cell r="F2701">
            <v>28.21</v>
          </cell>
        </row>
        <row r="2702">
          <cell r="D2702">
            <v>555054610170</v>
          </cell>
          <cell r="E2702" t="str">
            <v>BRACKET ASSY,WIRING HARNESS MTG</v>
          </cell>
          <cell r="F2702">
            <v>6.12</v>
          </cell>
        </row>
        <row r="2703">
          <cell r="D2703" t="str">
            <v>29006570M10108</v>
          </cell>
          <cell r="E2703" t="str">
            <v>FRAME ASSY,ROOF BOW</v>
          </cell>
          <cell r="F2703">
            <v>1150.1400000000001</v>
          </cell>
        </row>
        <row r="2704">
          <cell r="D2704">
            <v>550231860101</v>
          </cell>
          <cell r="E2704" t="str">
            <v>CROSS MEMBER ASSY,FRONT CRASH</v>
          </cell>
          <cell r="F2704">
            <v>2025.65</v>
          </cell>
        </row>
        <row r="2705">
          <cell r="D2705">
            <v>552930100102</v>
          </cell>
          <cell r="E2705" t="str">
            <v>BRACKET ASSY,ACCELERATOR PEDAL MTG</v>
          </cell>
          <cell r="F2705">
            <v>81.09</v>
          </cell>
        </row>
        <row r="2706">
          <cell r="D2706" t="str">
            <v>55476010M10156</v>
          </cell>
          <cell r="E2706" t="str">
            <v>TOP RAIL ASSY,FRONT</v>
          </cell>
          <cell r="F2706">
            <v>480.82</v>
          </cell>
        </row>
        <row r="2707">
          <cell r="D2707">
            <v>555547500103</v>
          </cell>
          <cell r="E2707" t="str">
            <v>RESTRAINT ASSY</v>
          </cell>
          <cell r="F2707">
            <v>124.22</v>
          </cell>
        </row>
        <row r="2708">
          <cell r="D2708" t="str">
            <v>55476320M10101</v>
          </cell>
          <cell r="E2708" t="str">
            <v>REINFORCEMENT ASSY,STRIKER</v>
          </cell>
          <cell r="F2708">
            <v>21.96</v>
          </cell>
        </row>
        <row r="2709">
          <cell r="D2709">
            <v>555547500107</v>
          </cell>
          <cell r="E2709" t="str">
            <v>ARRESTOR ASSY</v>
          </cell>
          <cell r="F2709">
            <v>144.29</v>
          </cell>
        </row>
        <row r="2710">
          <cell r="D2710">
            <v>585888210116</v>
          </cell>
          <cell r="E2710" t="str">
            <v>PIPE ASSY,REAR FENDER MTG,RH</v>
          </cell>
          <cell r="F2710">
            <v>771.11</v>
          </cell>
        </row>
        <row r="2711">
          <cell r="D2711">
            <v>289831900103</v>
          </cell>
          <cell r="E2711" t="str">
            <v>STONE GUARD ASSY</v>
          </cell>
          <cell r="F2711">
            <v>244.01</v>
          </cell>
        </row>
        <row r="2712">
          <cell r="D2712">
            <v>553054800104</v>
          </cell>
          <cell r="E2712" t="str">
            <v>BRACKET ASSY,SPEAKER MTG,RH</v>
          </cell>
          <cell r="F2712">
            <v>33.25</v>
          </cell>
        </row>
        <row r="2713">
          <cell r="D2713">
            <v>509143700109</v>
          </cell>
          <cell r="E2713" t="str">
            <v>BRACKET ASSY,APU MTG</v>
          </cell>
          <cell r="F2713">
            <v>258.14999999999998</v>
          </cell>
        </row>
        <row r="2714">
          <cell r="D2714">
            <v>581735608203</v>
          </cell>
          <cell r="E2714" t="str">
            <v>OIL CATCHER</v>
          </cell>
          <cell r="F2714">
            <v>62.11</v>
          </cell>
        </row>
        <row r="2715">
          <cell r="D2715">
            <v>550754400203</v>
          </cell>
          <cell r="E2715" t="str">
            <v>BRACKET ASSY HEADLAMP MTG RH</v>
          </cell>
          <cell r="F2715">
            <v>7.47</v>
          </cell>
        </row>
        <row r="2716">
          <cell r="D2716">
            <v>585888200182</v>
          </cell>
          <cell r="E2716" t="str">
            <v>ASSY REAR FENDER MTG UPPER RH WIDE (LHD)</v>
          </cell>
          <cell r="F2716">
            <v>376.29</v>
          </cell>
        </row>
        <row r="2717">
          <cell r="D2717">
            <v>290070100106</v>
          </cell>
          <cell r="E2717" t="str">
            <v>SUPD ASSY,LH</v>
          </cell>
          <cell r="F2717">
            <v>1773.39</v>
          </cell>
        </row>
        <row r="2718">
          <cell r="D2718">
            <v>540324100104</v>
          </cell>
          <cell r="E2718" t="str">
            <v>ASSY ENG MOUNT LH (EURO 5)</v>
          </cell>
          <cell r="F2718">
            <v>146.09</v>
          </cell>
        </row>
        <row r="2719">
          <cell r="D2719">
            <v>500426808202</v>
          </cell>
          <cell r="E2719" t="str">
            <v>L-BRACKET</v>
          </cell>
          <cell r="F2719">
            <v>20.66</v>
          </cell>
        </row>
        <row r="2720">
          <cell r="D2720">
            <v>540324108203</v>
          </cell>
          <cell r="E2720" t="str">
            <v>BOXING PLATE,ENG MTG BKT,RH (EURO V)</v>
          </cell>
          <cell r="F2720">
            <v>32.82</v>
          </cell>
        </row>
        <row r="2721">
          <cell r="D2721">
            <v>540324108207</v>
          </cell>
          <cell r="E2721" t="str">
            <v>BOTTOM BOX ENG MTG BKT(EURO 5) RH</v>
          </cell>
          <cell r="F2721">
            <v>32.82</v>
          </cell>
        </row>
        <row r="2722">
          <cell r="D2722">
            <v>290070100114</v>
          </cell>
          <cell r="E2722" t="str">
            <v>SUPD ASSY,LH</v>
          </cell>
          <cell r="F2722">
            <v>1613.45</v>
          </cell>
        </row>
        <row r="2723">
          <cell r="D2723">
            <v>290070100112</v>
          </cell>
          <cell r="E2723" t="str">
            <v>SUPD ASSY,RH</v>
          </cell>
          <cell r="F2723">
            <v>1181.33</v>
          </cell>
        </row>
        <row r="2724">
          <cell r="D2724">
            <v>550649200135</v>
          </cell>
          <cell r="E2724" t="str">
            <v>BRACKET ASSY,FRONT PIPE MTG</v>
          </cell>
          <cell r="F2724">
            <v>44.18</v>
          </cell>
        </row>
        <row r="2725">
          <cell r="D2725">
            <v>550231410101</v>
          </cell>
          <cell r="E2725" t="str">
            <v>CROSS MEMBER ASSY,CENTER BEARING MTG</v>
          </cell>
          <cell r="F2725">
            <v>1363.95</v>
          </cell>
        </row>
        <row r="2726">
          <cell r="D2726">
            <v>282132100112</v>
          </cell>
          <cell r="E2726" t="str">
            <v>ASSY FRONT BRACKET (FOR FRONT SPRING)</v>
          </cell>
          <cell r="F2726">
            <v>422.89</v>
          </cell>
        </row>
        <row r="2727">
          <cell r="D2727">
            <v>570650103375</v>
          </cell>
          <cell r="E2727" t="str">
            <v>BRACKET,RADIATOR BOTTOM MTG</v>
          </cell>
          <cell r="F2727">
            <v>174.51</v>
          </cell>
        </row>
        <row r="2728">
          <cell r="D2728">
            <v>265129100179</v>
          </cell>
          <cell r="E2728" t="str">
            <v>ASSY CLUTCH PEDAL(KAIZEN)</v>
          </cell>
          <cell r="F2728">
            <v>124.72</v>
          </cell>
        </row>
        <row r="2729">
          <cell r="D2729">
            <v>570650103377</v>
          </cell>
          <cell r="E2729" t="str">
            <v>BRACKET,RADIATOR BOTTOM MTG</v>
          </cell>
          <cell r="F2729">
            <v>191.6</v>
          </cell>
        </row>
        <row r="2730">
          <cell r="D2730">
            <v>570914110245</v>
          </cell>
          <cell r="E2730" t="str">
            <v>BRACKET ASSY</v>
          </cell>
          <cell r="F2730">
            <v>46.9</v>
          </cell>
        </row>
        <row r="2731">
          <cell r="D2731">
            <v>265732308224</v>
          </cell>
          <cell r="E2731" t="str">
            <v>BRACKET,SHOCK ABSORBER MTG,FRONT-LOWER</v>
          </cell>
          <cell r="F2731">
            <v>160.75</v>
          </cell>
        </row>
        <row r="2732">
          <cell r="D2732">
            <v>222970130169</v>
          </cell>
          <cell r="E2732" t="str">
            <v>SUPD ASSY</v>
          </cell>
          <cell r="F2732">
            <v>704.03</v>
          </cell>
        </row>
        <row r="2733">
          <cell r="D2733">
            <v>265732908201</v>
          </cell>
          <cell r="E2733" t="str">
            <v>BRACKET,CONNECTING LINK ASSY</v>
          </cell>
          <cell r="F2733">
            <v>88.88</v>
          </cell>
        </row>
        <row r="2734">
          <cell r="D2734">
            <v>215331700172</v>
          </cell>
          <cell r="E2734" t="str">
            <v>ASSY BRACKET COMPLETE L.H.(RUPD)</v>
          </cell>
          <cell r="F2734">
            <v>372.78</v>
          </cell>
        </row>
        <row r="2735">
          <cell r="D2735">
            <v>265749203312</v>
          </cell>
          <cell r="E2735" t="str">
            <v>BRACKET,FRONT PIPE MTG</v>
          </cell>
          <cell r="F2735">
            <v>353.36</v>
          </cell>
        </row>
        <row r="2736">
          <cell r="D2736">
            <v>550232100103</v>
          </cell>
          <cell r="E2736" t="str">
            <v>CROSS MEMBER</v>
          </cell>
          <cell r="F2736">
            <v>1172.31</v>
          </cell>
        </row>
        <row r="2737">
          <cell r="D2737">
            <v>554749203317</v>
          </cell>
          <cell r="E2737" t="str">
            <v>BRACKET,FRONT PIPE MTG</v>
          </cell>
          <cell r="F2737">
            <v>83.59</v>
          </cell>
        </row>
        <row r="2738">
          <cell r="D2738">
            <v>555046800101</v>
          </cell>
          <cell r="E2738" t="str">
            <v>L-BRACKET ASSY</v>
          </cell>
          <cell r="F2738">
            <v>14.16</v>
          </cell>
        </row>
        <row r="2739">
          <cell r="D2739">
            <v>555549200106</v>
          </cell>
          <cell r="E2739" t="str">
            <v>BRACKET ASSY,FRONT PIPE MTG</v>
          </cell>
          <cell r="F2739">
            <v>169.27</v>
          </cell>
        </row>
        <row r="2740">
          <cell r="D2740">
            <v>265891500103</v>
          </cell>
          <cell r="E2740" t="str">
            <v>ASSY.BRACKET.</v>
          </cell>
          <cell r="F2740">
            <v>10.4</v>
          </cell>
        </row>
        <row r="2741">
          <cell r="D2741">
            <v>252520140131</v>
          </cell>
          <cell r="E2741" t="str">
            <v>ASSY. BRACKET - BOTTOM - RH (FOR FAN RIN</v>
          </cell>
          <cell r="F2741">
            <v>56.53</v>
          </cell>
        </row>
        <row r="2742">
          <cell r="D2742">
            <v>267389120103</v>
          </cell>
          <cell r="E2742" t="str">
            <v>LEVER ASSY,DAMPER</v>
          </cell>
          <cell r="F2742">
            <v>432.43</v>
          </cell>
        </row>
        <row r="2743">
          <cell r="D2743">
            <v>267389300101</v>
          </cell>
          <cell r="E2743" t="str">
            <v>HOOK ASSY</v>
          </cell>
          <cell r="F2743">
            <v>41.28</v>
          </cell>
        </row>
        <row r="2744">
          <cell r="D2744">
            <v>222970160128</v>
          </cell>
          <cell r="E2744" t="str">
            <v>SUPD ASSY</v>
          </cell>
          <cell r="F2744">
            <v>906.39</v>
          </cell>
        </row>
        <row r="2745">
          <cell r="D2745">
            <v>267462100112</v>
          </cell>
          <cell r="E2745" t="str">
            <v>CROSS MEMBER ASSY,DASHBOARD MTG</v>
          </cell>
          <cell r="F2745">
            <v>849.7</v>
          </cell>
        </row>
        <row r="2746">
          <cell r="D2746">
            <v>289832103304</v>
          </cell>
          <cell r="E2746" t="str">
            <v>SADDLE BRACKET</v>
          </cell>
          <cell r="F2746">
            <v>49.05</v>
          </cell>
        </row>
        <row r="2747">
          <cell r="D2747">
            <v>511870110203</v>
          </cell>
          <cell r="E2747" t="str">
            <v>SUPD ASSY,RH</v>
          </cell>
          <cell r="F2747">
            <v>1238.29</v>
          </cell>
        </row>
        <row r="2748">
          <cell r="D2748">
            <v>264189110103</v>
          </cell>
          <cell r="E2748" t="str">
            <v>ASSY.CROSS TUBE (TORSION BAR) RHD</v>
          </cell>
          <cell r="F2748">
            <v>1321.64</v>
          </cell>
        </row>
        <row r="2749">
          <cell r="D2749">
            <v>269730100112</v>
          </cell>
          <cell r="E2749" t="str">
            <v>ACCL PEDAL ROD COML LHD</v>
          </cell>
          <cell r="F2749">
            <v>128.37</v>
          </cell>
        </row>
        <row r="2750">
          <cell r="D2750">
            <v>511870110204</v>
          </cell>
          <cell r="E2750" t="str">
            <v>SUPD ASSY,LH</v>
          </cell>
          <cell r="F2750">
            <v>1238.29</v>
          </cell>
        </row>
        <row r="2751">
          <cell r="D2751">
            <v>269932108303</v>
          </cell>
          <cell r="E2751" t="str">
            <v>SHIM 1.6 THK.</v>
          </cell>
          <cell r="F2751">
            <v>1.73</v>
          </cell>
        </row>
        <row r="2752">
          <cell r="D2752">
            <v>264189108272</v>
          </cell>
          <cell r="E2752" t="str">
            <v>PLATE,CAB LOCKING MECHANISM</v>
          </cell>
          <cell r="F2752">
            <v>7.3</v>
          </cell>
        </row>
        <row r="2753">
          <cell r="D2753">
            <v>552970100139</v>
          </cell>
          <cell r="E2753" t="str">
            <v>SUPD ASSY</v>
          </cell>
          <cell r="F2753">
            <v>866.12</v>
          </cell>
        </row>
        <row r="2754">
          <cell r="D2754">
            <v>275754200102</v>
          </cell>
          <cell r="E2754" t="str">
            <v>ASSY.BKT.COMPLT.-H/T,S/B BUZZ.&amp; WIF.IND.</v>
          </cell>
          <cell r="F2754">
            <v>23.58</v>
          </cell>
        </row>
        <row r="2755">
          <cell r="D2755">
            <v>552970100144</v>
          </cell>
          <cell r="E2755" t="str">
            <v>SUPD ASSY,LH</v>
          </cell>
          <cell r="F2755">
            <v>1634.76</v>
          </cell>
        </row>
        <row r="2756">
          <cell r="D2756">
            <v>289849200170</v>
          </cell>
          <cell r="E2756" t="str">
            <v>BRACKET ASSY</v>
          </cell>
          <cell r="F2756">
            <v>43.38</v>
          </cell>
        </row>
        <row r="2757">
          <cell r="D2757">
            <v>278231707137</v>
          </cell>
          <cell r="E2757" t="str">
            <v>SPACER</v>
          </cell>
          <cell r="F2757">
            <v>27.26</v>
          </cell>
        </row>
        <row r="2758">
          <cell r="D2758">
            <v>553230100108</v>
          </cell>
          <cell r="E2758" t="str">
            <v>BRACKET ASSY,ACCELERATOR PEDAL MTG</v>
          </cell>
          <cell r="F2758">
            <v>81.19</v>
          </cell>
        </row>
        <row r="2759">
          <cell r="D2759">
            <v>552970100145</v>
          </cell>
          <cell r="E2759" t="str">
            <v>SUPD ASSY,RH</v>
          </cell>
          <cell r="F2759">
            <v>1634.76</v>
          </cell>
        </row>
        <row r="2760">
          <cell r="D2760">
            <v>282140300106</v>
          </cell>
          <cell r="E2760" t="str">
            <v>ASSY SPARE WHEEL CARRIER</v>
          </cell>
          <cell r="F2760">
            <v>898.91</v>
          </cell>
        </row>
        <row r="2761">
          <cell r="D2761">
            <v>555470110201</v>
          </cell>
          <cell r="E2761" t="str">
            <v>SUPD ASSY</v>
          </cell>
          <cell r="F2761">
            <v>484.9</v>
          </cell>
        </row>
        <row r="2762">
          <cell r="D2762">
            <v>282143400102</v>
          </cell>
          <cell r="E2762" t="str">
            <v>BRACKET ASSY</v>
          </cell>
          <cell r="F2762">
            <v>19.73</v>
          </cell>
        </row>
        <row r="2763">
          <cell r="D2763">
            <v>289732100166</v>
          </cell>
          <cell r="E2763" t="str">
            <v>UPPER WISHBONE ASSY,RH</v>
          </cell>
          <cell r="F2763">
            <v>2140.63</v>
          </cell>
        </row>
        <row r="2764">
          <cell r="D2764">
            <v>555470110203</v>
          </cell>
          <cell r="E2764" t="str">
            <v>SUPD ASSY,LH</v>
          </cell>
          <cell r="F2764">
            <v>830.65</v>
          </cell>
        </row>
        <row r="2765">
          <cell r="D2765">
            <v>555470160104</v>
          </cell>
          <cell r="E2765" t="str">
            <v>SUPD ASSY</v>
          </cell>
          <cell r="F2765">
            <v>267.75</v>
          </cell>
        </row>
        <row r="2766">
          <cell r="D2766">
            <v>284554823301</v>
          </cell>
          <cell r="E2766" t="str">
            <v>WASHER,HOSE MTG BRACKET</v>
          </cell>
          <cell r="F2766">
            <v>2.2000000000000002</v>
          </cell>
        </row>
        <row r="2767">
          <cell r="D2767">
            <v>555054603307</v>
          </cell>
          <cell r="E2767" t="str">
            <v>BRACKET,CABIN WIRING HARNESS MTG</v>
          </cell>
          <cell r="F2767">
            <v>30.58</v>
          </cell>
        </row>
        <row r="2768">
          <cell r="D2768">
            <v>555570100105</v>
          </cell>
          <cell r="E2768" t="str">
            <v>SUPD ASSY</v>
          </cell>
          <cell r="F2768">
            <v>573.29999999999995</v>
          </cell>
        </row>
        <row r="2769">
          <cell r="D2769">
            <v>284561320109</v>
          </cell>
          <cell r="E2769" t="str">
            <v>BRACKET ASSY</v>
          </cell>
          <cell r="F2769">
            <v>11.4</v>
          </cell>
        </row>
        <row r="2770">
          <cell r="D2770">
            <v>555570110201</v>
          </cell>
          <cell r="E2770" t="str">
            <v>SUPD ASSY,LH</v>
          </cell>
          <cell r="F2770">
            <v>557.27</v>
          </cell>
        </row>
        <row r="2771">
          <cell r="D2771">
            <v>585889106004</v>
          </cell>
          <cell r="E2771" t="str">
            <v>CONNECTING LINK</v>
          </cell>
          <cell r="F2771">
            <v>10.66</v>
          </cell>
        </row>
        <row r="2772">
          <cell r="D2772">
            <v>552932307101</v>
          </cell>
          <cell r="E2772" t="str">
            <v>BRACKET,SHOCK ABSORBER MTG,FRONT-LOWER</v>
          </cell>
          <cell r="F2772">
            <v>61.77</v>
          </cell>
        </row>
        <row r="2773">
          <cell r="D2773">
            <v>555570110203</v>
          </cell>
          <cell r="E2773" t="str">
            <v>SUPD ASSY,RH</v>
          </cell>
          <cell r="F2773">
            <v>557.27</v>
          </cell>
        </row>
        <row r="2774">
          <cell r="D2774">
            <v>289854403301</v>
          </cell>
          <cell r="E2774" t="str">
            <v>BRACKET ASSY,TAIL LAMP &amp; LICENCE PLATE</v>
          </cell>
          <cell r="F2774">
            <v>29.22</v>
          </cell>
        </row>
        <row r="2775">
          <cell r="D2775">
            <v>555570160102</v>
          </cell>
          <cell r="E2775" t="str">
            <v>SUPD ASSY</v>
          </cell>
          <cell r="F2775">
            <v>646.45000000000005</v>
          </cell>
        </row>
        <row r="2776">
          <cell r="D2776">
            <v>289858304009</v>
          </cell>
          <cell r="E2776" t="str">
            <v>BRACKET ASSY,JACK MTG</v>
          </cell>
          <cell r="F2776">
            <v>11.82</v>
          </cell>
        </row>
        <row r="2777">
          <cell r="D2777">
            <v>289870120112</v>
          </cell>
          <cell r="E2777" t="str">
            <v>SUPD ASSY,LH</v>
          </cell>
          <cell r="F2777">
            <v>329.49</v>
          </cell>
        </row>
        <row r="2778">
          <cell r="D2778">
            <v>289870120113</v>
          </cell>
          <cell r="E2778" t="str">
            <v>SUPD ASSY,RH</v>
          </cell>
          <cell r="F2778">
            <v>329.49</v>
          </cell>
        </row>
        <row r="2779">
          <cell r="D2779">
            <v>215389100138</v>
          </cell>
          <cell r="E2779" t="str">
            <v>ASSY SUPPORT BOTTOM (MUDGUARD).</v>
          </cell>
          <cell r="F2779">
            <v>156.46</v>
          </cell>
        </row>
        <row r="2780">
          <cell r="D2780">
            <v>289881100111</v>
          </cell>
          <cell r="E2780" t="str">
            <v>COVER ASSY,MIDDLE</v>
          </cell>
          <cell r="F2780">
            <v>10.73</v>
          </cell>
        </row>
        <row r="2781">
          <cell r="D2781">
            <v>217946200108</v>
          </cell>
          <cell r="E2781" t="str">
            <v>ASSEMBLY BRACKET STG. GB MOUNTING</v>
          </cell>
          <cell r="F2781">
            <v>1389.57</v>
          </cell>
        </row>
        <row r="2782">
          <cell r="D2782">
            <v>290031700155</v>
          </cell>
          <cell r="E2782" t="str">
            <v>BRACKET ASSY,RUPD MTG,LH</v>
          </cell>
          <cell r="F2782">
            <v>527.77</v>
          </cell>
        </row>
        <row r="2783">
          <cell r="D2783">
            <v>217946200120</v>
          </cell>
          <cell r="E2783" t="str">
            <v>ASSY RES. TANK MTG. BKT.</v>
          </cell>
          <cell r="F2783">
            <v>98.49</v>
          </cell>
        </row>
        <row r="2784">
          <cell r="D2784">
            <v>585864200109</v>
          </cell>
          <cell r="E2784" t="str">
            <v>REINFORCEMENT ASSY,SNORKEL MTG,TOP</v>
          </cell>
          <cell r="F2784">
            <v>7.52</v>
          </cell>
        </row>
        <row r="2785">
          <cell r="D2785">
            <v>267462103301</v>
          </cell>
          <cell r="E2785" t="str">
            <v>REINFORCEMENT BRACKET</v>
          </cell>
          <cell r="F2785">
            <v>15.13</v>
          </cell>
        </row>
        <row r="2786">
          <cell r="D2786">
            <v>222787903303</v>
          </cell>
          <cell r="E2786" t="str">
            <v>BRACKET,AIR CONTROL VALVE MTG</v>
          </cell>
          <cell r="F2786">
            <v>49.98</v>
          </cell>
        </row>
        <row r="2787">
          <cell r="D2787">
            <v>585864200110</v>
          </cell>
          <cell r="E2787" t="str">
            <v>REINFORCEMENT ASSY,SNORKEL MTG,BOTTOM</v>
          </cell>
          <cell r="F2787">
            <v>30.06</v>
          </cell>
        </row>
        <row r="2788">
          <cell r="D2788">
            <v>290043700172</v>
          </cell>
          <cell r="E2788" t="str">
            <v>BRACKET ASSY,APU MTG</v>
          </cell>
          <cell r="F2788">
            <v>203.73</v>
          </cell>
        </row>
        <row r="2789">
          <cell r="D2789">
            <v>552970100193</v>
          </cell>
          <cell r="E2789" t="str">
            <v>SUPD ASSY</v>
          </cell>
          <cell r="F2789">
            <v>1318.11</v>
          </cell>
        </row>
        <row r="2790">
          <cell r="D2790">
            <v>585864200130</v>
          </cell>
          <cell r="E2790" t="str">
            <v>REINFORCEMENT ASSY,C/M BACK PANEL</v>
          </cell>
          <cell r="F2790">
            <v>198.85</v>
          </cell>
        </row>
        <row r="2791">
          <cell r="D2791">
            <v>290070100102</v>
          </cell>
          <cell r="E2791" t="str">
            <v>SUPD ASSY,LH</v>
          </cell>
          <cell r="F2791">
            <v>1856.4</v>
          </cell>
        </row>
        <row r="2792">
          <cell r="D2792">
            <v>222870110208</v>
          </cell>
          <cell r="E2792" t="str">
            <v>SUPD ASSY</v>
          </cell>
          <cell r="F2792">
            <v>546.97</v>
          </cell>
        </row>
        <row r="2793">
          <cell r="D2793">
            <v>585864608205</v>
          </cell>
          <cell r="E2793" t="str">
            <v>REAR WALL TRIM MTG BRACKET NRW</v>
          </cell>
          <cell r="F2793">
            <v>2.0299999999999998</v>
          </cell>
        </row>
        <row r="2794">
          <cell r="D2794">
            <v>290070100103</v>
          </cell>
          <cell r="E2794" t="str">
            <v>SUPD ASSY,RH</v>
          </cell>
          <cell r="F2794">
            <v>1465.5</v>
          </cell>
        </row>
        <row r="2795">
          <cell r="D2795">
            <v>222870140208</v>
          </cell>
          <cell r="E2795" t="str">
            <v>SUPD ASSY</v>
          </cell>
          <cell r="F2795">
            <v>538.88</v>
          </cell>
        </row>
        <row r="2796">
          <cell r="D2796" t="str">
            <v>55546010M10121</v>
          </cell>
          <cell r="E2796" t="str">
            <v>ASSY ROOF BOW FRONT NARROW</v>
          </cell>
          <cell r="F2796">
            <v>147.53</v>
          </cell>
        </row>
        <row r="2797">
          <cell r="D2797">
            <v>290070100108</v>
          </cell>
          <cell r="E2797" t="str">
            <v>SUPD ASSY</v>
          </cell>
          <cell r="F2797">
            <v>808.09</v>
          </cell>
        </row>
        <row r="2798">
          <cell r="D2798">
            <v>222970010178</v>
          </cell>
          <cell r="E2798" t="str">
            <v>BRACKET ASSY</v>
          </cell>
          <cell r="F2798">
            <v>69.819999999999993</v>
          </cell>
        </row>
        <row r="2799">
          <cell r="D2799">
            <v>289858304011</v>
          </cell>
          <cell r="E2799" t="str">
            <v>BRACKET ASSY,JACK MTG</v>
          </cell>
          <cell r="F2799">
            <v>8.23</v>
          </cell>
        </row>
        <row r="2800">
          <cell r="D2800">
            <v>290070100111</v>
          </cell>
          <cell r="E2800" t="str">
            <v>SUPD ASSY,LH</v>
          </cell>
          <cell r="F2800">
            <v>1470.46</v>
          </cell>
        </row>
        <row r="2801">
          <cell r="D2801">
            <v>222970010183</v>
          </cell>
          <cell r="E2801" t="str">
            <v>BRACKET ASSY</v>
          </cell>
          <cell r="F2801">
            <v>78.63</v>
          </cell>
        </row>
        <row r="2802">
          <cell r="D2802">
            <v>552970100114</v>
          </cell>
          <cell r="E2802" t="str">
            <v>SUPD ASSY,LH</v>
          </cell>
          <cell r="F2802">
            <v>1848.03</v>
          </cell>
        </row>
        <row r="2803">
          <cell r="D2803">
            <v>222970011611</v>
          </cell>
          <cell r="E2803" t="str">
            <v>SUPD ASSY,LH</v>
          </cell>
          <cell r="F2803">
            <v>1739.65</v>
          </cell>
        </row>
        <row r="2804">
          <cell r="D2804">
            <v>517247608201</v>
          </cell>
          <cell r="E2804" t="str">
            <v>BRACKET,FUEL PIPE MTG</v>
          </cell>
          <cell r="F2804">
            <v>29.37</v>
          </cell>
        </row>
        <row r="2805">
          <cell r="D2805">
            <v>222970011612</v>
          </cell>
          <cell r="E2805" t="str">
            <v>SUPD ASSY,RH</v>
          </cell>
          <cell r="F2805">
            <v>1305.6099999999999</v>
          </cell>
        </row>
        <row r="2806">
          <cell r="D2806">
            <v>552970100140</v>
          </cell>
          <cell r="E2806" t="str">
            <v>SUPD ASSY,LH</v>
          </cell>
          <cell r="F2806">
            <v>1495.92</v>
          </cell>
        </row>
        <row r="2807">
          <cell r="D2807">
            <v>540324100103</v>
          </cell>
          <cell r="E2807" t="str">
            <v>ASSY ENGINE MTG BRACKET RH (FOR EURO 5)</v>
          </cell>
          <cell r="F2807">
            <v>146.09</v>
          </cell>
        </row>
        <row r="2808">
          <cell r="D2808">
            <v>222970100269</v>
          </cell>
          <cell r="E2808" t="str">
            <v>SUPD ASSY</v>
          </cell>
          <cell r="F2808">
            <v>269.97000000000003</v>
          </cell>
        </row>
        <row r="2809">
          <cell r="D2809">
            <v>550246107101</v>
          </cell>
          <cell r="E2809" t="str">
            <v>BENT PLATE</v>
          </cell>
          <cell r="F2809">
            <v>6.54</v>
          </cell>
        </row>
        <row r="2810">
          <cell r="D2810">
            <v>552970100141</v>
          </cell>
          <cell r="E2810" t="str">
            <v>SUPD ASSY,RH</v>
          </cell>
          <cell r="F2810">
            <v>1495.92</v>
          </cell>
        </row>
        <row r="2811">
          <cell r="D2811">
            <v>222970110132</v>
          </cell>
          <cell r="E2811" t="str">
            <v>SUPD ASSY,RH</v>
          </cell>
          <cell r="F2811">
            <v>882.65</v>
          </cell>
        </row>
        <row r="2812">
          <cell r="D2812">
            <v>550247100113</v>
          </cell>
          <cell r="E2812" t="str">
            <v>ASSY FUEL FILTER MTG BKT</v>
          </cell>
          <cell r="F2812">
            <v>54.38</v>
          </cell>
        </row>
        <row r="2813">
          <cell r="D2813">
            <v>222970150101</v>
          </cell>
          <cell r="E2813" t="str">
            <v>SUPD ASSY</v>
          </cell>
          <cell r="F2813">
            <v>804.89</v>
          </cell>
        </row>
        <row r="2814">
          <cell r="D2814">
            <v>550629500102</v>
          </cell>
          <cell r="E2814" t="str">
            <v>BRACKET ASSY,BOOSTER MTG</v>
          </cell>
          <cell r="F2814">
            <v>244.22</v>
          </cell>
        </row>
        <row r="2815">
          <cell r="D2815">
            <v>550732308212</v>
          </cell>
          <cell r="E2815" t="str">
            <v>LOCK SHEET</v>
          </cell>
          <cell r="F2815">
            <v>1.57</v>
          </cell>
        </row>
        <row r="2816">
          <cell r="D2816">
            <v>222970150115</v>
          </cell>
          <cell r="E2816" t="str">
            <v>SUPD ASSY,LH</v>
          </cell>
          <cell r="F2816">
            <v>1884.21</v>
          </cell>
        </row>
        <row r="2817">
          <cell r="D2817">
            <v>550740300111</v>
          </cell>
          <cell r="E2817" t="str">
            <v>SPARE WHEEL CARRIER ASSY.</v>
          </cell>
          <cell r="F2817">
            <v>1312.74</v>
          </cell>
        </row>
        <row r="2818">
          <cell r="D2818">
            <v>550749103304</v>
          </cell>
          <cell r="E2818" t="str">
            <v>BRACKET,EGP MTG</v>
          </cell>
          <cell r="F2818">
            <v>188.66</v>
          </cell>
        </row>
        <row r="2819">
          <cell r="D2819">
            <v>550829000123</v>
          </cell>
          <cell r="E2819" t="str">
            <v>CLUTCH PEDAL ASSY WITH MTG BKT</v>
          </cell>
          <cell r="F2819">
            <v>681.63</v>
          </cell>
        </row>
        <row r="2820">
          <cell r="D2820">
            <v>222970160130</v>
          </cell>
          <cell r="E2820" t="str">
            <v>SUPD ASSY,LH</v>
          </cell>
          <cell r="F2820">
            <v>3623.73</v>
          </cell>
        </row>
        <row r="2821">
          <cell r="D2821">
            <v>553026820106</v>
          </cell>
          <cell r="E2821" t="str">
            <v>ANCHOR BRACKET ASSY,SHIFT CABLE</v>
          </cell>
          <cell r="F2821">
            <v>147.61000000000001</v>
          </cell>
        </row>
        <row r="2822">
          <cell r="D2822">
            <v>550829000124</v>
          </cell>
          <cell r="E2822" t="str">
            <v>BRAKE CONTROL ASSY</v>
          </cell>
          <cell r="F2822">
            <v>783.53</v>
          </cell>
        </row>
        <row r="2823">
          <cell r="D2823">
            <v>222970160132</v>
          </cell>
          <cell r="E2823" t="str">
            <v>SUPD ASSY,RH</v>
          </cell>
          <cell r="F2823">
            <v>2978.56</v>
          </cell>
        </row>
        <row r="2824">
          <cell r="D2824">
            <v>550840300118</v>
          </cell>
          <cell r="E2824" t="str">
            <v>SPARE WHEEL CARRIER ASSY</v>
          </cell>
          <cell r="F2824">
            <v>1195.6400000000001</v>
          </cell>
        </row>
        <row r="2825">
          <cell r="D2825">
            <v>222970160145</v>
          </cell>
          <cell r="E2825" t="str">
            <v>SUPD ASSY</v>
          </cell>
          <cell r="F2825">
            <v>513.01</v>
          </cell>
        </row>
        <row r="2826">
          <cell r="D2826">
            <v>550842700103</v>
          </cell>
          <cell r="E2826" t="str">
            <v>BRACKET ASSY</v>
          </cell>
          <cell r="F2826">
            <v>79.010000000000005</v>
          </cell>
        </row>
        <row r="2827">
          <cell r="D2827">
            <v>222970160151</v>
          </cell>
          <cell r="E2827" t="str">
            <v>SUPD ASSY</v>
          </cell>
          <cell r="F2827">
            <v>710.61</v>
          </cell>
        </row>
        <row r="2828">
          <cell r="D2828">
            <v>274789100105</v>
          </cell>
          <cell r="E2828" t="str">
            <v>ASSY.CROSS TUBE</v>
          </cell>
          <cell r="F2828">
            <v>2006.06</v>
          </cell>
        </row>
        <row r="2829">
          <cell r="D2829">
            <v>550849203307</v>
          </cell>
          <cell r="E2829" t="str">
            <v>BRACKET,FRONT PIPE MTG</v>
          </cell>
          <cell r="F2829">
            <v>58.82</v>
          </cell>
        </row>
        <row r="2830">
          <cell r="D2830">
            <v>222970160188</v>
          </cell>
          <cell r="E2830" t="str">
            <v>SUPD ASSY</v>
          </cell>
          <cell r="F2830">
            <v>1008.39</v>
          </cell>
        </row>
        <row r="2831">
          <cell r="D2831">
            <v>552970100186</v>
          </cell>
          <cell r="E2831" t="str">
            <v>SUPD ASSY,RH</v>
          </cell>
          <cell r="F2831">
            <v>1182.9000000000001</v>
          </cell>
        </row>
        <row r="2832">
          <cell r="D2832">
            <v>550849203308</v>
          </cell>
          <cell r="E2832" t="str">
            <v>BRACKET,FRONT PIPE MTG</v>
          </cell>
          <cell r="F2832">
            <v>40.67</v>
          </cell>
        </row>
        <row r="2833">
          <cell r="D2833">
            <v>222970900126</v>
          </cell>
          <cell r="E2833" t="str">
            <v>SUPD ASSY</v>
          </cell>
          <cell r="F2833">
            <v>479.45</v>
          </cell>
        </row>
        <row r="2834">
          <cell r="D2834">
            <v>550854600123</v>
          </cell>
          <cell r="E2834" t="str">
            <v>BRACKET &amp; STRIP PLATE ASSY</v>
          </cell>
          <cell r="F2834">
            <v>11.68</v>
          </cell>
        </row>
        <row r="2835">
          <cell r="D2835">
            <v>251826517101</v>
          </cell>
          <cell r="E2835" t="str">
            <v>LUG SHIFTER FORK (1/REV.SPEED)</v>
          </cell>
          <cell r="F2835">
            <v>1.86</v>
          </cell>
        </row>
        <row r="2836">
          <cell r="D2836">
            <v>552970100185</v>
          </cell>
          <cell r="E2836" t="str">
            <v>SUPD ASSY,LH</v>
          </cell>
          <cell r="F2836">
            <v>1101.47</v>
          </cell>
        </row>
        <row r="2837">
          <cell r="D2837">
            <v>552747500125</v>
          </cell>
          <cell r="E2837" t="str">
            <v>ARRESTOR ASSY</v>
          </cell>
          <cell r="F2837">
            <v>165.54</v>
          </cell>
        </row>
        <row r="2838">
          <cell r="D2838">
            <v>252707143306</v>
          </cell>
          <cell r="E2838" t="str">
            <v>SUPPORT BRACKET,HP LINES</v>
          </cell>
          <cell r="F2838">
            <v>13.99</v>
          </cell>
        </row>
        <row r="2839">
          <cell r="D2839">
            <v>552770160101</v>
          </cell>
          <cell r="E2839" t="str">
            <v>SUPD ASSY</v>
          </cell>
          <cell r="F2839">
            <v>887.47</v>
          </cell>
        </row>
        <row r="2840">
          <cell r="D2840">
            <v>252715140252</v>
          </cell>
          <cell r="E2840" t="str">
            <v>COVER ASSY</v>
          </cell>
          <cell r="F2840">
            <v>64.75</v>
          </cell>
        </row>
        <row r="2841">
          <cell r="D2841">
            <v>552970100121</v>
          </cell>
          <cell r="E2841" t="str">
            <v>SUPD ASSY,LH</v>
          </cell>
          <cell r="F2841">
            <v>1190.81</v>
          </cell>
        </row>
        <row r="2842">
          <cell r="D2842">
            <v>252722107137</v>
          </cell>
          <cell r="E2842" t="str">
            <v>LIFTING HOOK,FRONT</v>
          </cell>
          <cell r="F2842">
            <v>59.54</v>
          </cell>
        </row>
        <row r="2843">
          <cell r="D2843">
            <v>552970100122</v>
          </cell>
          <cell r="E2843" t="str">
            <v>SUPD ASSY,RH</v>
          </cell>
          <cell r="F2843">
            <v>1190.81</v>
          </cell>
        </row>
        <row r="2844">
          <cell r="D2844">
            <v>215331700141</v>
          </cell>
          <cell r="E2844" t="str">
            <v>CHANNEL ASSY (RUPD)</v>
          </cell>
          <cell r="F2844">
            <v>1135.55</v>
          </cell>
        </row>
        <row r="2845">
          <cell r="D2845">
            <v>253401170169</v>
          </cell>
          <cell r="E2845" t="str">
            <v>ASSY BRACKET OIL SEPARATOR MOUNTING</v>
          </cell>
          <cell r="F2845">
            <v>76.150000000000006</v>
          </cell>
        </row>
        <row r="2846">
          <cell r="D2846">
            <v>552970100127</v>
          </cell>
          <cell r="E2846" t="str">
            <v>SUPD ASSY,LH</v>
          </cell>
          <cell r="F2846">
            <v>1892.14</v>
          </cell>
        </row>
        <row r="2847">
          <cell r="D2847">
            <v>253409140274</v>
          </cell>
          <cell r="E2847" t="str">
            <v>BRACKET,AIR FILTER MTG</v>
          </cell>
          <cell r="F2847">
            <v>679.86</v>
          </cell>
        </row>
        <row r="2848">
          <cell r="D2848">
            <v>552970100182</v>
          </cell>
          <cell r="E2848" t="str">
            <v>SUPD ASSY</v>
          </cell>
          <cell r="F2848">
            <v>745.2</v>
          </cell>
        </row>
        <row r="2849">
          <cell r="D2849">
            <v>253409150122</v>
          </cell>
          <cell r="E2849" t="str">
            <v>BRACKET,AIR FILTER MTG</v>
          </cell>
          <cell r="F2849">
            <v>691.76</v>
          </cell>
        </row>
        <row r="2850">
          <cell r="D2850">
            <v>570614603340</v>
          </cell>
          <cell r="E2850" t="str">
            <v>BRACKET</v>
          </cell>
          <cell r="F2850">
            <v>29.99</v>
          </cell>
        </row>
        <row r="2851">
          <cell r="D2851">
            <v>552970100192</v>
          </cell>
          <cell r="E2851" t="str">
            <v>SUPD ASSY</v>
          </cell>
          <cell r="F2851">
            <v>1318.11</v>
          </cell>
        </row>
        <row r="2852">
          <cell r="D2852">
            <v>253422107116</v>
          </cell>
          <cell r="E2852" t="str">
            <v>LIFTING HOOK (FRONT)</v>
          </cell>
          <cell r="F2852">
            <v>66.25</v>
          </cell>
        </row>
        <row r="2853">
          <cell r="D2853">
            <v>552970100195</v>
          </cell>
          <cell r="E2853" t="str">
            <v>SUPD ASSY,RH</v>
          </cell>
          <cell r="F2853">
            <v>1222.57</v>
          </cell>
        </row>
        <row r="2854">
          <cell r="D2854">
            <v>263042903302</v>
          </cell>
          <cell r="E2854" t="str">
            <v>BRACKET</v>
          </cell>
          <cell r="F2854">
            <v>12.52</v>
          </cell>
        </row>
        <row r="2855">
          <cell r="D2855">
            <v>553242703308</v>
          </cell>
          <cell r="E2855" t="str">
            <v>BRACKET,HANDBRAKE MTG</v>
          </cell>
          <cell r="F2855">
            <v>144.41999999999999</v>
          </cell>
        </row>
        <row r="2856">
          <cell r="D2856">
            <v>263231707115</v>
          </cell>
          <cell r="E2856" t="str">
            <v>SPACER</v>
          </cell>
          <cell r="F2856">
            <v>20.66</v>
          </cell>
        </row>
        <row r="2857">
          <cell r="D2857">
            <v>570650103369</v>
          </cell>
          <cell r="E2857" t="str">
            <v>BRACKET,RADIATOR BOTTOM MTG</v>
          </cell>
          <cell r="F2857">
            <v>171.97</v>
          </cell>
        </row>
        <row r="2858">
          <cell r="D2858">
            <v>264054200102</v>
          </cell>
          <cell r="E2858" t="str">
            <v>ASSY.BRACKET.</v>
          </cell>
          <cell r="F2858">
            <v>14.8</v>
          </cell>
        </row>
        <row r="2859">
          <cell r="D2859">
            <v>553243700103</v>
          </cell>
          <cell r="E2859" t="str">
            <v>BRACKET ASSY,MODULATOR VALVE MTG</v>
          </cell>
          <cell r="F2859">
            <v>116.31</v>
          </cell>
        </row>
        <row r="2860">
          <cell r="D2860">
            <v>264130100169</v>
          </cell>
          <cell r="E2860" t="str">
            <v>ACCELERATOR PEDAL ASSY WITH MTG BRACKET</v>
          </cell>
          <cell r="F2860">
            <v>155.53</v>
          </cell>
        </row>
        <row r="2861">
          <cell r="D2861">
            <v>570650110111</v>
          </cell>
          <cell r="E2861" t="str">
            <v>BRACKET ASSY</v>
          </cell>
          <cell r="F2861">
            <v>8.84</v>
          </cell>
        </row>
        <row r="2862">
          <cell r="D2862">
            <v>553246108202</v>
          </cell>
          <cell r="E2862" t="str">
            <v>COVER,STG COLUMN BELLOW</v>
          </cell>
          <cell r="F2862">
            <v>6.7</v>
          </cell>
        </row>
        <row r="2863">
          <cell r="D2863">
            <v>264131208266</v>
          </cell>
          <cell r="E2863" t="str">
            <v>REINFORCEMENT (HELPER SPR. BRKT.)</v>
          </cell>
          <cell r="F2863">
            <v>34</v>
          </cell>
        </row>
        <row r="2864">
          <cell r="D2864">
            <v>553247603303</v>
          </cell>
          <cell r="E2864" t="str">
            <v>BRACKET,FILTER MTG</v>
          </cell>
          <cell r="F2864">
            <v>89.55</v>
          </cell>
        </row>
        <row r="2865">
          <cell r="D2865">
            <v>571407100120</v>
          </cell>
          <cell r="E2865" t="str">
            <v>ECU MOUNTING BRACKET</v>
          </cell>
          <cell r="F2865">
            <v>31.35</v>
          </cell>
        </row>
        <row r="2866">
          <cell r="D2866">
            <v>264229500107</v>
          </cell>
          <cell r="E2866" t="str">
            <v>BRACKET ASSY,SLAVE CYLINDER MTG</v>
          </cell>
          <cell r="F2866">
            <v>116.55</v>
          </cell>
        </row>
        <row r="2867">
          <cell r="D2867">
            <v>555054700102</v>
          </cell>
          <cell r="E2867" t="str">
            <v>BRACKET ASSY,GDCU UNIT MOUNTING</v>
          </cell>
          <cell r="F2867">
            <v>13</v>
          </cell>
        </row>
        <row r="2868">
          <cell r="D2868">
            <v>585860100156</v>
          </cell>
          <cell r="E2868" t="str">
            <v>TOP RAIL ASSY,FRONT</v>
          </cell>
          <cell r="F2868">
            <v>480.82</v>
          </cell>
        </row>
        <row r="2869">
          <cell r="D2869">
            <v>585860108204</v>
          </cell>
          <cell r="E2869" t="str">
            <v>TOP RAIL REAR</v>
          </cell>
          <cell r="F2869">
            <v>301.67</v>
          </cell>
        </row>
        <row r="2870">
          <cell r="D2870">
            <v>555570100106</v>
          </cell>
          <cell r="E2870" t="str">
            <v>SUPD ASSY</v>
          </cell>
          <cell r="F2870">
            <v>532.69000000000005</v>
          </cell>
        </row>
        <row r="2871">
          <cell r="D2871">
            <v>264349203306</v>
          </cell>
          <cell r="E2871" t="str">
            <v>BRACKET</v>
          </cell>
          <cell r="F2871">
            <v>192.98</v>
          </cell>
        </row>
        <row r="2872">
          <cell r="D2872">
            <v>570601173336</v>
          </cell>
          <cell r="E2872" t="str">
            <v>BRACKET,OIL SEPARATOR MTG</v>
          </cell>
          <cell r="F2872">
            <v>14.03</v>
          </cell>
        </row>
        <row r="2873">
          <cell r="D2873">
            <v>264729200104</v>
          </cell>
          <cell r="E2873" t="str">
            <v>BRAKE PEDAL ASSY WITH BUSH</v>
          </cell>
          <cell r="F2873">
            <v>182.24</v>
          </cell>
        </row>
        <row r="2874">
          <cell r="D2874">
            <v>585862600201</v>
          </cell>
          <cell r="E2874" t="str">
            <v>LIFTING HOOK ASSY,CAB,RH</v>
          </cell>
          <cell r="F2874">
            <v>36.33</v>
          </cell>
        </row>
        <row r="2875">
          <cell r="D2875">
            <v>264730100111</v>
          </cell>
          <cell r="E2875" t="str">
            <v>BRACKET ASSY,ACCELERATOR PEDAL MTG</v>
          </cell>
          <cell r="F2875">
            <v>76.290000000000006</v>
          </cell>
        </row>
        <row r="2876">
          <cell r="D2876">
            <v>585863200101</v>
          </cell>
          <cell r="E2876" t="str">
            <v>ASSY REINF STRIKER</v>
          </cell>
          <cell r="F2876">
            <v>21.96</v>
          </cell>
        </row>
        <row r="2877">
          <cell r="D2877">
            <v>264770160101</v>
          </cell>
          <cell r="E2877" t="str">
            <v>SUPD ASSY,LH</v>
          </cell>
          <cell r="F2877">
            <v>783.55</v>
          </cell>
        </row>
        <row r="2878">
          <cell r="D2878">
            <v>585864208234</v>
          </cell>
          <cell r="E2878" t="str">
            <v>REINFORCEMENT,REAR WALL,CENTER</v>
          </cell>
          <cell r="F2878">
            <v>186.73</v>
          </cell>
        </row>
        <row r="2879">
          <cell r="D2879">
            <v>264770160102</v>
          </cell>
          <cell r="E2879" t="str">
            <v>SUPD ASSY,RH</v>
          </cell>
          <cell r="F2879">
            <v>783.55</v>
          </cell>
        </row>
        <row r="2880">
          <cell r="D2880">
            <v>585883708201</v>
          </cell>
          <cell r="E2880" t="str">
            <v>COVER PLATE</v>
          </cell>
          <cell r="F2880">
            <v>86.82</v>
          </cell>
        </row>
        <row r="2881">
          <cell r="D2881">
            <v>265442700178</v>
          </cell>
          <cell r="E2881" t="str">
            <v>BRACKET ASSY,EQUALIZER</v>
          </cell>
          <cell r="F2881">
            <v>102.83</v>
          </cell>
        </row>
        <row r="2882">
          <cell r="D2882">
            <v>585888200181</v>
          </cell>
          <cell r="E2882" t="str">
            <v>ASSY REAR FENDER MTG UPPER LH WIDE (LHD)</v>
          </cell>
          <cell r="F2882">
            <v>250.44</v>
          </cell>
        </row>
        <row r="2883">
          <cell r="D2883">
            <v>265458604001</v>
          </cell>
          <cell r="E2883" t="str">
            <v>CLAMP-JACK HANDLE</v>
          </cell>
          <cell r="F2883">
            <v>2.76</v>
          </cell>
        </row>
        <row r="2884">
          <cell r="D2884">
            <v>585888210165</v>
          </cell>
          <cell r="E2884" t="str">
            <v>PIPE ASSY,REAR FENDER MTG,LH</v>
          </cell>
          <cell r="F2884">
            <v>396.21</v>
          </cell>
        </row>
        <row r="2885">
          <cell r="D2885">
            <v>585889100130</v>
          </cell>
          <cell r="E2885" t="str">
            <v>ASSY FRT MTG SHEET METAL LH 850X200</v>
          </cell>
          <cell r="F2885">
            <v>964.11</v>
          </cell>
        </row>
        <row r="2886">
          <cell r="D2886">
            <v>265460118203</v>
          </cell>
          <cell r="E2886" t="str">
            <v>REINFORCEMENT LH(SIDE BONNET)</v>
          </cell>
          <cell r="F2886">
            <v>7.15</v>
          </cell>
        </row>
        <row r="2887">
          <cell r="D2887" t="str">
            <v>55306420M10130</v>
          </cell>
          <cell r="E2887" t="str">
            <v>REINFORCEMENT ASSY,C/M BACK PANEL</v>
          </cell>
          <cell r="F2887">
            <v>198.85</v>
          </cell>
        </row>
        <row r="2888">
          <cell r="D2888">
            <v>265472208237</v>
          </cell>
          <cell r="E2888" t="str">
            <v>SUPPORT,DOOR OUTER,LH</v>
          </cell>
          <cell r="F2888">
            <v>6.91</v>
          </cell>
        </row>
        <row r="2889">
          <cell r="D2889" t="str">
            <v>55546010M10144</v>
          </cell>
          <cell r="E2889" t="str">
            <v>ASSY TOP RAIL FRONT NARROW</v>
          </cell>
          <cell r="F2889">
            <v>328.51</v>
          </cell>
        </row>
        <row r="2890">
          <cell r="D2890">
            <v>265731407103</v>
          </cell>
          <cell r="E2890" t="str">
            <v>GUSSET</v>
          </cell>
          <cell r="F2890">
            <v>45.24</v>
          </cell>
        </row>
        <row r="2891">
          <cell r="D2891">
            <v>270829100101</v>
          </cell>
          <cell r="E2891" t="str">
            <v>BRACKET ASSY,CLUTCH BOOSTER MTG</v>
          </cell>
          <cell r="F2891">
            <v>283</v>
          </cell>
        </row>
        <row r="2892">
          <cell r="D2892">
            <v>550215603301</v>
          </cell>
          <cell r="E2892" t="str">
            <v>BRACKET,EMS WIRING HARNESS MTG</v>
          </cell>
          <cell r="F2892">
            <v>9.99</v>
          </cell>
        </row>
        <row r="2893">
          <cell r="D2893">
            <v>552958604002</v>
          </cell>
          <cell r="E2893" t="str">
            <v>JACK CLAMP</v>
          </cell>
          <cell r="F2893">
            <v>21.94</v>
          </cell>
        </row>
        <row r="2894">
          <cell r="D2894">
            <v>253401170208</v>
          </cell>
          <cell r="E2894" t="str">
            <v>BRACKET ASSY,DIPSTICK MTG</v>
          </cell>
          <cell r="F2894">
            <v>10.220000000000001</v>
          </cell>
        </row>
        <row r="2895">
          <cell r="D2895">
            <v>267461100114</v>
          </cell>
          <cell r="E2895" t="str">
            <v>NUT PLATE ASSY</v>
          </cell>
          <cell r="F2895">
            <v>4.45</v>
          </cell>
        </row>
        <row r="2896">
          <cell r="D2896">
            <v>267462100124</v>
          </cell>
          <cell r="E2896" t="str">
            <v>SUPPORT ASSY,CROSS MEMBER,RH</v>
          </cell>
          <cell r="F2896">
            <v>77.69</v>
          </cell>
        </row>
        <row r="2897">
          <cell r="D2897">
            <v>269929108278</v>
          </cell>
          <cell r="E2897" t="str">
            <v>BRACKET(CLUTCH BLEEDING HOSE SUPPORT)</v>
          </cell>
          <cell r="F2897">
            <v>2.88</v>
          </cell>
        </row>
        <row r="2898">
          <cell r="D2898">
            <v>278914103315</v>
          </cell>
          <cell r="E2898" t="str">
            <v>BRACKET EGR VALVE MTG</v>
          </cell>
          <cell r="F2898">
            <v>7.8</v>
          </cell>
        </row>
        <row r="2899">
          <cell r="D2899">
            <v>280943700189</v>
          </cell>
          <cell r="E2899" t="str">
            <v>BRACKET-RELAY VALVE MOUNTING</v>
          </cell>
          <cell r="F2899">
            <v>97.86</v>
          </cell>
        </row>
        <row r="2900">
          <cell r="D2900">
            <v>282131407101</v>
          </cell>
          <cell r="E2900" t="str">
            <v>SPACER</v>
          </cell>
          <cell r="F2900">
            <v>17.12</v>
          </cell>
        </row>
        <row r="2901">
          <cell r="D2901">
            <v>284561300209</v>
          </cell>
          <cell r="E2901" t="str">
            <v>BRACKET ASSY</v>
          </cell>
          <cell r="F2901">
            <v>16.12</v>
          </cell>
        </row>
        <row r="2902">
          <cell r="D2902">
            <v>289883753305</v>
          </cell>
          <cell r="E2902" t="str">
            <v>BRACKET,HEATER HOSE MTG</v>
          </cell>
          <cell r="F2902">
            <v>33.53</v>
          </cell>
        </row>
        <row r="2903">
          <cell r="D2903">
            <v>540732100101</v>
          </cell>
          <cell r="E2903" t="str">
            <v>ASSY STRUT MTG BRACKET - LH</v>
          </cell>
          <cell r="F2903">
            <v>399.51</v>
          </cell>
        </row>
        <row r="2904">
          <cell r="D2904">
            <v>265460118204</v>
          </cell>
          <cell r="E2904" t="str">
            <v>REINFORCEMENT RH(SIDE BONNET)</v>
          </cell>
          <cell r="F2904">
            <v>7.14</v>
          </cell>
        </row>
        <row r="2905">
          <cell r="D2905">
            <v>215331700171</v>
          </cell>
          <cell r="E2905" t="str">
            <v>ASSY BRACKET COMPLETE R.H.(RUPD)</v>
          </cell>
          <cell r="F2905">
            <v>372.78</v>
          </cell>
        </row>
        <row r="2906">
          <cell r="D2906">
            <v>252722107104</v>
          </cell>
          <cell r="E2906" t="str">
            <v>LIFTING HOOK FRONT</v>
          </cell>
          <cell r="F2906">
            <v>29.47</v>
          </cell>
        </row>
        <row r="2907">
          <cell r="D2907">
            <v>264215608202</v>
          </cell>
          <cell r="E2907" t="str">
            <v>CLIP_ENGINE</v>
          </cell>
          <cell r="F2907">
            <v>1.54</v>
          </cell>
        </row>
        <row r="2908">
          <cell r="D2908">
            <v>264189110130</v>
          </cell>
          <cell r="E2908" t="str">
            <v>SUPPORT ASSY,BOTTOM-LH</v>
          </cell>
          <cell r="F2908">
            <v>148.26</v>
          </cell>
        </row>
        <row r="2909">
          <cell r="D2909">
            <v>264229108224</v>
          </cell>
          <cell r="E2909" t="str">
            <v>BRACKET,BUNDY TUBE MTG</v>
          </cell>
          <cell r="F2909">
            <v>17.66</v>
          </cell>
        </row>
        <row r="2910">
          <cell r="D2910">
            <v>264330100127</v>
          </cell>
          <cell r="E2910" t="str">
            <v>ASSY.PEDAL LEVER WITH ACCL. PEDAL</v>
          </cell>
          <cell r="F2910">
            <v>89.38</v>
          </cell>
        </row>
        <row r="2911">
          <cell r="D2911">
            <v>265731500101</v>
          </cell>
          <cell r="E2911" t="str">
            <v>PINTLE HOOK ASSY</v>
          </cell>
          <cell r="F2911">
            <v>383.63</v>
          </cell>
        </row>
        <row r="2912">
          <cell r="D2912">
            <v>274789110145</v>
          </cell>
          <cell r="E2912" t="str">
            <v>ASSY LEVER DAMPER GUIDE COMPLETE</v>
          </cell>
          <cell r="F2912">
            <v>471.13</v>
          </cell>
        </row>
        <row r="2913">
          <cell r="D2913">
            <v>277615608207</v>
          </cell>
          <cell r="E2913" t="str">
            <v>BRACKET FOR W/H SUPPORT AT WATER INLET 6</v>
          </cell>
          <cell r="F2913">
            <v>2.8</v>
          </cell>
        </row>
        <row r="2914">
          <cell r="D2914">
            <v>278329100128</v>
          </cell>
          <cell r="E2914" t="str">
            <v>ASSY BRAKE PEDAL COMPLETE</v>
          </cell>
          <cell r="F2914">
            <v>125.53</v>
          </cell>
        </row>
        <row r="2915">
          <cell r="D2915">
            <v>264729100121</v>
          </cell>
          <cell r="E2915" t="str">
            <v>LEVER ASSY WITH BUSH,CLUTCH PEDAL</v>
          </cell>
          <cell r="F2915">
            <v>196.35</v>
          </cell>
        </row>
        <row r="2916">
          <cell r="D2916">
            <v>552970100194</v>
          </cell>
          <cell r="E2916" t="str">
            <v>SUPD ASSY,RH</v>
          </cell>
          <cell r="F2916">
            <v>1172.53</v>
          </cell>
        </row>
        <row r="2917">
          <cell r="D2917">
            <v>289443800196</v>
          </cell>
          <cell r="E2917" t="str">
            <v>BRACKET ASSY,MODULATOR VALVE MTG</v>
          </cell>
          <cell r="F2917">
            <v>79.760000000000005</v>
          </cell>
        </row>
        <row r="2918">
          <cell r="D2918">
            <v>289832100130</v>
          </cell>
          <cell r="E2918" t="str">
            <v>SADDLE ASSY,FRONT</v>
          </cell>
          <cell r="F2918">
            <v>104.88</v>
          </cell>
        </row>
        <row r="2919">
          <cell r="D2919">
            <v>550754600184</v>
          </cell>
          <cell r="E2919" t="str">
            <v>BRACKET ASSY (CAB TILT SW)</v>
          </cell>
          <cell r="F2919">
            <v>10.92</v>
          </cell>
        </row>
        <row r="2920">
          <cell r="D2920">
            <v>553043703302</v>
          </cell>
          <cell r="E2920" t="str">
            <v>BRACKET,MODULATOR VALVE MTG</v>
          </cell>
          <cell r="F2920">
            <v>28.73</v>
          </cell>
        </row>
        <row r="2921">
          <cell r="D2921">
            <v>585864200126</v>
          </cell>
          <cell r="E2921" t="str">
            <v>BRACKET ASSY,SNORKEL MTG</v>
          </cell>
          <cell r="F2921">
            <v>39.090000000000003</v>
          </cell>
        </row>
        <row r="2922">
          <cell r="D2922">
            <v>585860100113</v>
          </cell>
          <cell r="E2922" t="str">
            <v>BRACKET ASSY,CAB LIFTING</v>
          </cell>
          <cell r="F2922">
            <v>84.33</v>
          </cell>
        </row>
        <row r="2923">
          <cell r="D2923">
            <v>585864208240</v>
          </cell>
          <cell r="E2923" t="str">
            <v>BRACKET,REAR WALL TRIM MTG</v>
          </cell>
          <cell r="F2923">
            <v>2.54</v>
          </cell>
        </row>
        <row r="2924">
          <cell r="D2924">
            <v>253450103308</v>
          </cell>
          <cell r="E2924" t="str">
            <v>BRACKET-AUX.TANK MOUNTING.</v>
          </cell>
          <cell r="F2924">
            <v>11.2</v>
          </cell>
        </row>
        <row r="2925">
          <cell r="D2925">
            <v>264131308201</v>
          </cell>
          <cell r="E2925" t="str">
            <v>BRACKET(FRONT SPRG.BUMP STOPPER)</v>
          </cell>
          <cell r="F2925">
            <v>30.13</v>
          </cell>
        </row>
        <row r="2926">
          <cell r="D2926">
            <v>289829503308</v>
          </cell>
          <cell r="E2926" t="str">
            <v>BRACKET,BRAKE PEDAL RETURN SPRING</v>
          </cell>
          <cell r="F2926">
            <v>5.08</v>
          </cell>
        </row>
        <row r="2927">
          <cell r="D2927">
            <v>265461608263</v>
          </cell>
          <cell r="E2927" t="str">
            <v>SPACER PLATE (TOOL BAG BRKT.MTG.)</v>
          </cell>
          <cell r="F2927">
            <v>5.0999999999999996</v>
          </cell>
        </row>
        <row r="2928">
          <cell r="D2928">
            <v>252714604223</v>
          </cell>
          <cell r="E2928" t="str">
            <v>P TYPE CLAMP</v>
          </cell>
          <cell r="F2928">
            <v>3.45</v>
          </cell>
        </row>
        <row r="2929">
          <cell r="D2929">
            <v>570914118201</v>
          </cell>
          <cell r="E2929" t="str">
            <v>SUPPORT BRACKET,EXHAUST ELBOW</v>
          </cell>
          <cell r="F2929">
            <v>30.33</v>
          </cell>
        </row>
        <row r="2930">
          <cell r="D2930">
            <v>585888200120</v>
          </cell>
          <cell r="E2930" t="str">
            <v>ASSY BRT REAR FENDER MTG UPPER LH</v>
          </cell>
          <cell r="F2930">
            <v>371.61</v>
          </cell>
        </row>
        <row r="2931">
          <cell r="D2931">
            <v>253422107123</v>
          </cell>
          <cell r="E2931" t="str">
            <v>ENGINE LIFTING HOOK,REAR</v>
          </cell>
          <cell r="F2931">
            <v>86.51</v>
          </cell>
        </row>
        <row r="2932">
          <cell r="D2932">
            <v>585888200121</v>
          </cell>
          <cell r="E2932" t="str">
            <v>ASSY BRT REAR FENDER MTG UPPER RH</v>
          </cell>
          <cell r="F2932">
            <v>245.76</v>
          </cell>
        </row>
        <row r="2933">
          <cell r="D2933">
            <v>585888200122</v>
          </cell>
          <cell r="E2933" t="str">
            <v>ASSY PIPE REAR FENDER MTG LOWER LH</v>
          </cell>
          <cell r="F2933">
            <v>386.19</v>
          </cell>
        </row>
        <row r="2934">
          <cell r="D2934">
            <v>265161608251</v>
          </cell>
          <cell r="E2934" t="str">
            <v>REINFORCEMENT LH STEP WELL</v>
          </cell>
          <cell r="F2934">
            <v>9.7899999999999991</v>
          </cell>
        </row>
        <row r="2935">
          <cell r="D2935">
            <v>265161608252</v>
          </cell>
          <cell r="E2935" t="str">
            <v>REINFORCEMENT RH (STEP WELL)</v>
          </cell>
          <cell r="F2935">
            <v>3.75</v>
          </cell>
        </row>
        <row r="2936">
          <cell r="D2936">
            <v>264330108204</v>
          </cell>
          <cell r="E2936" t="str">
            <v>BRACKET (ACCL. CABLE MTG.) (B)</v>
          </cell>
          <cell r="F2936">
            <v>9.65</v>
          </cell>
        </row>
        <row r="2937">
          <cell r="D2937">
            <v>585863200137</v>
          </cell>
          <cell r="E2937" t="str">
            <v>REINFORCEMENT ASSY,OUTER FENDER PANEL</v>
          </cell>
          <cell r="F2937">
            <v>3.74</v>
          </cell>
        </row>
        <row r="2938">
          <cell r="D2938">
            <v>585864200103</v>
          </cell>
          <cell r="E2938" t="str">
            <v>ASSY REINF BOTTOM SNORKEL MTG</v>
          </cell>
          <cell r="F2938">
            <v>32.33</v>
          </cell>
        </row>
        <row r="2939">
          <cell r="D2939">
            <v>257640300111</v>
          </cell>
          <cell r="E2939" t="str">
            <v>ASSY SPARE WHEEL CARRIER</v>
          </cell>
          <cell r="F2939">
            <v>1769.23</v>
          </cell>
        </row>
        <row r="2940">
          <cell r="D2940">
            <v>585864200128</v>
          </cell>
          <cell r="E2940" t="str">
            <v>REINFORCEMENT ASSY,SNORKEL MTG,TOP-LH</v>
          </cell>
          <cell r="F2940">
            <v>20.3</v>
          </cell>
        </row>
        <row r="2941">
          <cell r="D2941">
            <v>585864200129</v>
          </cell>
          <cell r="E2941" t="str">
            <v>REINFORCEMENT ASSY,SNORKEL MTG,TOP-RH</v>
          </cell>
          <cell r="F2941">
            <v>20.3</v>
          </cell>
        </row>
        <row r="2942">
          <cell r="D2942">
            <v>552970100179</v>
          </cell>
          <cell r="E2942" t="str">
            <v>SUPD ASSY,LH</v>
          </cell>
          <cell r="F2942">
            <v>1806.82</v>
          </cell>
        </row>
        <row r="2943">
          <cell r="D2943">
            <v>264129100113</v>
          </cell>
          <cell r="E2943" t="str">
            <v>ASSY.CLUTCH PEDAL COMPLETE</v>
          </cell>
          <cell r="F2943">
            <v>135.68</v>
          </cell>
        </row>
        <row r="2944">
          <cell r="D2944">
            <v>585888200114</v>
          </cell>
          <cell r="E2944" t="str">
            <v>REAR FENDER ASSY</v>
          </cell>
          <cell r="F2944">
            <v>858.21</v>
          </cell>
        </row>
        <row r="2945">
          <cell r="D2945">
            <v>289831700109</v>
          </cell>
          <cell r="E2945" t="str">
            <v>BEAM ASSY,RUPD</v>
          </cell>
          <cell r="F2945">
            <v>689.74</v>
          </cell>
        </row>
        <row r="2946">
          <cell r="D2946">
            <v>277615608210</v>
          </cell>
          <cell r="E2946" t="str">
            <v>BRACKET-2 FOR W/H SUPPORT ON INTAKE MANI</v>
          </cell>
          <cell r="F2946">
            <v>16.75</v>
          </cell>
        </row>
        <row r="2947">
          <cell r="D2947">
            <v>267389100103</v>
          </cell>
          <cell r="E2947" t="str">
            <v>CROSS TUBE ASSY,TORSION BAR</v>
          </cell>
          <cell r="F2947">
            <v>1710.8</v>
          </cell>
        </row>
        <row r="2948">
          <cell r="D2948">
            <v>269932105104</v>
          </cell>
          <cell r="E2948" t="str">
            <v>TOP SPINDLE (FRT.SUSPN)</v>
          </cell>
          <cell r="F2948">
            <v>167.19</v>
          </cell>
        </row>
        <row r="2949">
          <cell r="D2949">
            <v>215329100110</v>
          </cell>
          <cell r="E2949" t="str">
            <v>BRAKE PEDAL ASSY WITH BUSH</v>
          </cell>
          <cell r="F2949">
            <v>121.44</v>
          </cell>
        </row>
        <row r="2950">
          <cell r="D2950">
            <v>222970110133</v>
          </cell>
          <cell r="E2950" t="str">
            <v>SUPD ASSY,LH</v>
          </cell>
          <cell r="F2950">
            <v>882.64</v>
          </cell>
        </row>
        <row r="2951">
          <cell r="D2951">
            <v>264183100120</v>
          </cell>
          <cell r="E2951" t="str">
            <v>ASSY.BRACKET (PLENUM MTG.) RH</v>
          </cell>
          <cell r="F2951">
            <v>28.13</v>
          </cell>
        </row>
        <row r="2952">
          <cell r="D2952">
            <v>264189100182</v>
          </cell>
          <cell r="E2952" t="str">
            <v>ASSEMBLY BRACKET UPPER (CHASSIS SIDE)</v>
          </cell>
          <cell r="F2952">
            <v>89.67</v>
          </cell>
        </row>
        <row r="2953">
          <cell r="D2953">
            <v>264329200106</v>
          </cell>
          <cell r="E2953" t="str">
            <v>ASSY. PEDAL LEVER COMPLETE</v>
          </cell>
          <cell r="F2953">
            <v>164.36</v>
          </cell>
        </row>
        <row r="2954">
          <cell r="D2954">
            <v>284562208254</v>
          </cell>
          <cell r="E2954" t="str">
            <v>TOP MTG BKT DASH BOAD</v>
          </cell>
          <cell r="F2954">
            <v>9.24</v>
          </cell>
        </row>
        <row r="2955">
          <cell r="D2955">
            <v>265132100146</v>
          </cell>
          <cell r="E2955" t="str">
            <v>ASSY. SHACKLE (FRONT SPRING)</v>
          </cell>
          <cell r="F2955">
            <v>102.15</v>
          </cell>
        </row>
        <row r="2956">
          <cell r="D2956">
            <v>264189110175</v>
          </cell>
          <cell r="E2956" t="str">
            <v>ASSY MOUTING BRACKET REAR-LH</v>
          </cell>
          <cell r="F2956">
            <v>618.22</v>
          </cell>
        </row>
        <row r="2957">
          <cell r="D2957">
            <v>274789110112</v>
          </cell>
          <cell r="E2957" t="str">
            <v>ASSY.CAB MTG.BKT.RR COMPL-LH (COIL SUSN)</v>
          </cell>
          <cell r="F2957">
            <v>967.89</v>
          </cell>
        </row>
        <row r="2958">
          <cell r="D2958">
            <v>274789110113</v>
          </cell>
          <cell r="E2958" t="str">
            <v>ASSY.CAB MTG.BKT.RR COMPL RH (COIL SPN)N</v>
          </cell>
          <cell r="F2958">
            <v>954.6</v>
          </cell>
        </row>
        <row r="2959">
          <cell r="D2959">
            <v>277615608202</v>
          </cell>
          <cell r="E2959" t="str">
            <v>BRACKET FOR CIGAR COIL BRANCH SUPPORT 69</v>
          </cell>
          <cell r="F2959">
            <v>3.26</v>
          </cell>
        </row>
        <row r="2960">
          <cell r="D2960">
            <v>282115608206</v>
          </cell>
          <cell r="E2960" t="str">
            <v>BRACKET,LAMBDA SENSOR BRANCH MTG</v>
          </cell>
          <cell r="F2960">
            <v>3.5</v>
          </cell>
        </row>
        <row r="2961">
          <cell r="D2961">
            <v>289483400317</v>
          </cell>
          <cell r="E2961" t="str">
            <v>ASSY MTG BKT FOR TUBE DISCHARGE (EURO V)</v>
          </cell>
          <cell r="F2961">
            <v>5.51</v>
          </cell>
        </row>
        <row r="2962">
          <cell r="D2962">
            <v>289732100111</v>
          </cell>
          <cell r="E2962" t="str">
            <v>LOWER WISHBONE ASSY, RH,COMPLETE</v>
          </cell>
          <cell r="F2962">
            <v>2040.64</v>
          </cell>
        </row>
        <row r="2963">
          <cell r="D2963">
            <v>550246200116</v>
          </cell>
          <cell r="E2963" t="str">
            <v>BRACKET ASSY,STG COLUMN MOUNTING</v>
          </cell>
          <cell r="F2963">
            <v>269.18</v>
          </cell>
        </row>
        <row r="2964">
          <cell r="D2964">
            <v>550749200119</v>
          </cell>
          <cell r="E2964" t="str">
            <v>ASSEMBLY SUPPORT BRACKET</v>
          </cell>
          <cell r="F2964">
            <v>48.74</v>
          </cell>
        </row>
        <row r="2965">
          <cell r="D2965">
            <v>550754500195</v>
          </cell>
          <cell r="E2965" t="str">
            <v>BRACKET ASSY,BATTERY CUT OFF SWITCH MTG</v>
          </cell>
          <cell r="F2965">
            <v>113.99</v>
          </cell>
        </row>
        <row r="2966">
          <cell r="D2966">
            <v>570913130103</v>
          </cell>
          <cell r="E2966" t="str">
            <v>BRACKET ASSY,AIR COMPRESSOR PIPE MTG</v>
          </cell>
          <cell r="F2966">
            <v>9.3800000000000008</v>
          </cell>
        </row>
        <row r="2967">
          <cell r="D2967">
            <v>570922128201</v>
          </cell>
          <cell r="E2967" t="str">
            <v>ENGINE LIFTING HOOK,CYL HEAD,FRONT</v>
          </cell>
          <cell r="F2967">
            <v>57.62</v>
          </cell>
        </row>
        <row r="2968">
          <cell r="D2968">
            <v>585888100127</v>
          </cell>
          <cell r="E2968" t="str">
            <v>ASSY SUPPORT BRKT NOISE COVER RH TOP</v>
          </cell>
          <cell r="F2968">
            <v>22.7</v>
          </cell>
        </row>
        <row r="2969">
          <cell r="D2969">
            <v>267389100107</v>
          </cell>
          <cell r="E2969" t="str">
            <v>SUPPORT ASSY,MUDGUARD MTG,BOTTOM-RH</v>
          </cell>
          <cell r="F2969">
            <v>240.77</v>
          </cell>
        </row>
        <row r="2970">
          <cell r="D2970">
            <v>264131300102</v>
          </cell>
          <cell r="E2970" t="str">
            <v>ASSY.BRACKET (FRONT SPRING BUMP STOP.)</v>
          </cell>
          <cell r="F2970">
            <v>64.55</v>
          </cell>
        </row>
        <row r="2971">
          <cell r="D2971">
            <v>552941108201</v>
          </cell>
          <cell r="E2971" t="str">
            <v>SUPPORT,PROPELLER SHAFT GUARD</v>
          </cell>
          <cell r="F2971">
            <v>161.44</v>
          </cell>
        </row>
        <row r="2972">
          <cell r="D2972">
            <v>552970100136</v>
          </cell>
          <cell r="E2972" t="str">
            <v>SUPD ASSY</v>
          </cell>
          <cell r="F2972">
            <v>1007.97</v>
          </cell>
        </row>
        <row r="2973">
          <cell r="D2973">
            <v>287032100101</v>
          </cell>
          <cell r="E2973" t="str">
            <v>ASSY UPPER WISHBONE COMPLETE-RH</v>
          </cell>
          <cell r="F2973">
            <v>1526.29</v>
          </cell>
        </row>
        <row r="2974">
          <cell r="D2974">
            <v>287032100104</v>
          </cell>
          <cell r="E2974" t="str">
            <v>ASSY UPPER WISHBONE COMPLETE-LH</v>
          </cell>
          <cell r="F2974">
            <v>1526.29</v>
          </cell>
        </row>
        <row r="2975">
          <cell r="D2975">
            <v>215340300106</v>
          </cell>
          <cell r="E2975" t="str">
            <v>BRACKET ASSY,SPARE WHEEL CARRIER MTG</v>
          </cell>
          <cell r="F2975">
            <v>1472.72</v>
          </cell>
        </row>
        <row r="2976">
          <cell r="D2976">
            <v>289854900111</v>
          </cell>
          <cell r="E2976" t="str">
            <v>BRACKET ASSY,ECU MTG</v>
          </cell>
          <cell r="F2976">
            <v>51.86</v>
          </cell>
        </row>
        <row r="2977">
          <cell r="D2977">
            <v>215342300132</v>
          </cell>
          <cell r="E2977" t="str">
            <v>ASSY. BRACKET-LH</v>
          </cell>
          <cell r="F2977">
            <v>549.23</v>
          </cell>
        </row>
        <row r="2978">
          <cell r="D2978">
            <v>290029200102</v>
          </cell>
          <cell r="E2978" t="str">
            <v>BRAKE PEDAL ASSY WITH BUSH</v>
          </cell>
          <cell r="F2978">
            <v>212.81</v>
          </cell>
        </row>
        <row r="2979">
          <cell r="D2979">
            <v>217931200110</v>
          </cell>
          <cell r="E2979" t="str">
            <v>ASSY RUPD BRACKET COMPLETE RH</v>
          </cell>
          <cell r="F2979">
            <v>335</v>
          </cell>
        </row>
        <row r="2980">
          <cell r="D2980">
            <v>219029100122</v>
          </cell>
          <cell r="E2980" t="str">
            <v>CLUTCH PEDAL ASSY WITH BUSH</v>
          </cell>
          <cell r="F2980">
            <v>208.74</v>
          </cell>
        </row>
        <row r="2981">
          <cell r="D2981">
            <v>511830100101</v>
          </cell>
          <cell r="E2981" t="str">
            <v>BRACKET ASSY,ACCELERATOR PEDAL MTG</v>
          </cell>
          <cell r="F2981">
            <v>74.72</v>
          </cell>
        </row>
        <row r="2982">
          <cell r="D2982">
            <v>219031700129</v>
          </cell>
          <cell r="E2982" t="str">
            <v>BEAM ASSY,RUPD</v>
          </cell>
          <cell r="F2982">
            <v>1886.75</v>
          </cell>
        </row>
        <row r="2983">
          <cell r="D2983">
            <v>550654403301</v>
          </cell>
          <cell r="E2983" t="str">
            <v>BRACKET ASSY,TAIL LAMP MTG,LH</v>
          </cell>
          <cell r="F2983">
            <v>37.409999999999997</v>
          </cell>
        </row>
        <row r="2984">
          <cell r="D2984">
            <v>222870110131</v>
          </cell>
          <cell r="E2984" t="str">
            <v>SUPD ASSY,LH</v>
          </cell>
          <cell r="F2984">
            <v>867.96</v>
          </cell>
        </row>
        <row r="2985">
          <cell r="D2985">
            <v>550733408207</v>
          </cell>
          <cell r="E2985" t="str">
            <v>FRONT HUB COVER</v>
          </cell>
          <cell r="F2985">
            <v>29.69</v>
          </cell>
        </row>
        <row r="2986">
          <cell r="D2986">
            <v>550743700146</v>
          </cell>
          <cell r="E2986" t="str">
            <v>BRACKET ASSY,HAND BRAKE VALVE MTG</v>
          </cell>
          <cell r="F2986">
            <v>50.62</v>
          </cell>
        </row>
        <row r="2987">
          <cell r="D2987">
            <v>222870110132</v>
          </cell>
          <cell r="E2987" t="str">
            <v>SUPD ASSY,RH</v>
          </cell>
          <cell r="F2987">
            <v>867.96</v>
          </cell>
        </row>
        <row r="2988">
          <cell r="D2988">
            <v>550743708204</v>
          </cell>
          <cell r="E2988" t="str">
            <v>BRACKET QUICK RELEASE VALVE MTG</v>
          </cell>
          <cell r="F2988">
            <v>23.28</v>
          </cell>
        </row>
        <row r="2989">
          <cell r="D2989">
            <v>550743903302</v>
          </cell>
          <cell r="E2989" t="str">
            <v>BRACKET</v>
          </cell>
          <cell r="F2989">
            <v>67.91</v>
          </cell>
        </row>
        <row r="2990">
          <cell r="D2990">
            <v>550754400138</v>
          </cell>
          <cell r="E2990" t="str">
            <v>ASSY HEAD LAMP MTG BRKT OUTBOARD BODY SI</v>
          </cell>
          <cell r="F2990">
            <v>88.3</v>
          </cell>
        </row>
        <row r="2991">
          <cell r="D2991">
            <v>222870160136</v>
          </cell>
          <cell r="E2991" t="str">
            <v>SUPD ASSY,LH</v>
          </cell>
          <cell r="F2991">
            <v>893.11</v>
          </cell>
        </row>
        <row r="2992">
          <cell r="D2992">
            <v>550754400139</v>
          </cell>
          <cell r="E2992" t="str">
            <v>ASSY HEAD LAMP MTG BRKT OUTBOARD BODY SI</v>
          </cell>
          <cell r="F2992">
            <v>88.3</v>
          </cell>
        </row>
        <row r="2993">
          <cell r="D2993">
            <v>222870160137</v>
          </cell>
          <cell r="E2993" t="str">
            <v>SUPD ASSY,RH</v>
          </cell>
          <cell r="F2993">
            <v>893.11</v>
          </cell>
        </row>
        <row r="2994">
          <cell r="D2994">
            <v>552747100103</v>
          </cell>
          <cell r="E2994" t="str">
            <v>BRACKET ASSY,FUEL FILTER MTG</v>
          </cell>
          <cell r="F2994">
            <v>137.28</v>
          </cell>
        </row>
        <row r="2995">
          <cell r="D2995">
            <v>222870160142</v>
          </cell>
          <cell r="E2995" t="str">
            <v>SUPD ASSY,LH</v>
          </cell>
          <cell r="F2995">
            <v>816.97</v>
          </cell>
        </row>
        <row r="2996">
          <cell r="D2996">
            <v>552970100126</v>
          </cell>
          <cell r="E2996" t="str">
            <v>SUPD ASSY,LH</v>
          </cell>
          <cell r="F2996">
            <v>1325.45</v>
          </cell>
        </row>
        <row r="2997">
          <cell r="D2997">
            <v>222870160143</v>
          </cell>
          <cell r="E2997" t="str">
            <v>SUPD ASSY,RH</v>
          </cell>
          <cell r="F2997">
            <v>816.97</v>
          </cell>
        </row>
        <row r="2998">
          <cell r="D2998">
            <v>552970100180</v>
          </cell>
          <cell r="E2998" t="str">
            <v>SUPD ASSY,RH</v>
          </cell>
          <cell r="F2998">
            <v>1406.77</v>
          </cell>
        </row>
        <row r="2999">
          <cell r="D2999">
            <v>553031700102</v>
          </cell>
          <cell r="E2999" t="str">
            <v>BEAM ASSY,RUPD</v>
          </cell>
          <cell r="F2999">
            <v>1737.98</v>
          </cell>
        </row>
        <row r="3000">
          <cell r="D3000">
            <v>553229200109</v>
          </cell>
          <cell r="E3000" t="str">
            <v>BRAKE PEDAL ASSY WITH BUSH</v>
          </cell>
          <cell r="F3000">
            <v>146.35</v>
          </cell>
        </row>
        <row r="3001">
          <cell r="D3001">
            <v>222970100259</v>
          </cell>
          <cell r="E3001" t="str">
            <v>SUPD ASSY</v>
          </cell>
          <cell r="F3001">
            <v>211.78</v>
          </cell>
        </row>
        <row r="3002">
          <cell r="D3002">
            <v>553229300106</v>
          </cell>
          <cell r="E3002" t="str">
            <v>CLUTCH PEDAL ASSY WITH BUSH</v>
          </cell>
          <cell r="F3002">
            <v>131.32</v>
          </cell>
        </row>
        <row r="3003">
          <cell r="D3003">
            <v>570614603309</v>
          </cell>
          <cell r="E3003" t="str">
            <v>TC-IC PIPE SUPPORT FROM AIR COMP BKT</v>
          </cell>
          <cell r="F3003">
            <v>22.95</v>
          </cell>
        </row>
        <row r="3004">
          <cell r="D3004">
            <v>570650103366</v>
          </cell>
          <cell r="E3004" t="str">
            <v>SUPPORT BRACKET</v>
          </cell>
          <cell r="F3004">
            <v>110.3</v>
          </cell>
        </row>
        <row r="3005">
          <cell r="D3005">
            <v>570915148201</v>
          </cell>
          <cell r="E3005" t="str">
            <v>DISTANCE PLATE,ALTERNATOR MOUNTING</v>
          </cell>
          <cell r="F3005">
            <v>9.7899999999999991</v>
          </cell>
        </row>
        <row r="3006">
          <cell r="D3006">
            <v>585860100102</v>
          </cell>
          <cell r="E3006" t="str">
            <v>ROOF STRUCTURE ASSY</v>
          </cell>
          <cell r="F3006">
            <v>684.34</v>
          </cell>
        </row>
        <row r="3007">
          <cell r="D3007">
            <v>585860100112</v>
          </cell>
          <cell r="E3007" t="str">
            <v>BRACKET ASSY,CAB LIFTING,LH</v>
          </cell>
          <cell r="F3007">
            <v>84.33</v>
          </cell>
        </row>
        <row r="3008">
          <cell r="D3008">
            <v>585860108220</v>
          </cell>
          <cell r="E3008" t="str">
            <v>TOP RAIL REAR NRW</v>
          </cell>
          <cell r="F3008">
            <v>225.58</v>
          </cell>
        </row>
        <row r="3009">
          <cell r="D3009">
            <v>222970160176</v>
          </cell>
          <cell r="E3009" t="str">
            <v>SUPD ASSY</v>
          </cell>
          <cell r="F3009">
            <v>1589.7</v>
          </cell>
        </row>
        <row r="3010">
          <cell r="D3010">
            <v>585862600118</v>
          </cell>
          <cell r="E3010" t="str">
            <v>REINFORCEMENT ASSY,FIREWALL CTR MTG BKT</v>
          </cell>
          <cell r="F3010">
            <v>94.65</v>
          </cell>
        </row>
        <row r="3011">
          <cell r="D3011">
            <v>222970408274</v>
          </cell>
          <cell r="E3011" t="str">
            <v>BRACKET</v>
          </cell>
          <cell r="F3011">
            <v>37.06</v>
          </cell>
        </row>
        <row r="3012">
          <cell r="D3012">
            <v>585862600119</v>
          </cell>
          <cell r="E3012" t="str">
            <v>BRACKET ASSY,CONTROL MTG</v>
          </cell>
          <cell r="F3012">
            <v>63.72</v>
          </cell>
        </row>
        <row r="3013">
          <cell r="D3013">
            <v>252709133337</v>
          </cell>
          <cell r="E3013" t="str">
            <v>BRACKET(AIR FILTER MOUNTING)</v>
          </cell>
          <cell r="F3013">
            <v>180.63</v>
          </cell>
        </row>
        <row r="3014">
          <cell r="D3014">
            <v>585872700118</v>
          </cell>
          <cell r="E3014" t="str">
            <v>ASSY BRACKET CARRIER PLATE DOOR</v>
          </cell>
          <cell r="F3014">
            <v>16.09</v>
          </cell>
        </row>
        <row r="3015">
          <cell r="D3015">
            <v>252709133338</v>
          </cell>
          <cell r="E3015" t="str">
            <v>SUPPORT BRACKET (AIR FILTER MOUNTING)</v>
          </cell>
          <cell r="F3015">
            <v>79.36</v>
          </cell>
        </row>
        <row r="3016">
          <cell r="D3016">
            <v>585888100117</v>
          </cell>
          <cell r="E3016" t="str">
            <v>ASSY SUPPORT BRKT NOISE COVER LH TOP</v>
          </cell>
          <cell r="F3016">
            <v>22.7</v>
          </cell>
        </row>
        <row r="3017">
          <cell r="D3017">
            <v>252713134202</v>
          </cell>
          <cell r="E3017" t="str">
            <v>BRACKET</v>
          </cell>
          <cell r="F3017">
            <v>3.86</v>
          </cell>
        </row>
        <row r="3018">
          <cell r="D3018">
            <v>585888100121</v>
          </cell>
          <cell r="E3018" t="str">
            <v>ASSY BRKT FRAME NOISE COVER</v>
          </cell>
          <cell r="F3018">
            <v>41.53</v>
          </cell>
        </row>
        <row r="3019">
          <cell r="D3019">
            <v>252720107106</v>
          </cell>
          <cell r="E3019" t="str">
            <v>LIFTING HOOK,REAR</v>
          </cell>
          <cell r="F3019">
            <v>81.22</v>
          </cell>
        </row>
        <row r="3020">
          <cell r="D3020">
            <v>585888200101</v>
          </cell>
          <cell r="E3020" t="str">
            <v>PIPE ASSY,FENDER REAR-LH</v>
          </cell>
          <cell r="F3020">
            <v>895.29</v>
          </cell>
        </row>
        <row r="3021">
          <cell r="D3021">
            <v>252722107102</v>
          </cell>
          <cell r="E3021" t="str">
            <v>LIFTING HOOK-REAR</v>
          </cell>
          <cell r="F3021">
            <v>59.53</v>
          </cell>
        </row>
        <row r="3022">
          <cell r="D3022">
            <v>585888200123</v>
          </cell>
          <cell r="E3022" t="str">
            <v>ASSY PIPE REAR FENDER MTG LOWER RH</v>
          </cell>
          <cell r="F3022">
            <v>375.57</v>
          </cell>
        </row>
        <row r="3023">
          <cell r="D3023">
            <v>252722107108</v>
          </cell>
          <cell r="E3023" t="str">
            <v>LIFTING HOOK (REAR)</v>
          </cell>
          <cell r="F3023">
            <v>66.91</v>
          </cell>
        </row>
        <row r="3024">
          <cell r="D3024">
            <v>585888210122</v>
          </cell>
          <cell r="E3024" t="str">
            <v>PIPE ASSY,FENDER REAR-LH</v>
          </cell>
          <cell r="F3024">
            <v>894.5</v>
          </cell>
        </row>
        <row r="3025">
          <cell r="D3025">
            <v>252722107128</v>
          </cell>
          <cell r="E3025" t="str">
            <v>LIFTING HOOK .</v>
          </cell>
          <cell r="F3025">
            <v>89.92</v>
          </cell>
        </row>
        <row r="3026">
          <cell r="D3026">
            <v>253418170322</v>
          </cell>
          <cell r="E3026" t="str">
            <v>BRACKET</v>
          </cell>
          <cell r="F3026">
            <v>10.87</v>
          </cell>
        </row>
        <row r="3027">
          <cell r="D3027">
            <v>585888400129</v>
          </cell>
          <cell r="E3027" t="str">
            <v>BRACKET ASSY,HINGE SUPPORT</v>
          </cell>
          <cell r="F3027">
            <v>20.16</v>
          </cell>
        </row>
        <row r="3028">
          <cell r="D3028">
            <v>253422107106</v>
          </cell>
          <cell r="E3028" t="str">
            <v>LIFTING HOOK REAR (DICOR)</v>
          </cell>
          <cell r="F3028">
            <v>76.900000000000006</v>
          </cell>
        </row>
        <row r="3029">
          <cell r="D3029">
            <v>585889108205</v>
          </cell>
          <cell r="E3029" t="str">
            <v>CONNECTOR</v>
          </cell>
          <cell r="F3029">
            <v>11.2</v>
          </cell>
        </row>
        <row r="3030">
          <cell r="D3030">
            <v>503354608207</v>
          </cell>
          <cell r="E3030" t="str">
            <v>BKT FOR HARNESS MOUNTING</v>
          </cell>
          <cell r="F3030">
            <v>4.9800000000000004</v>
          </cell>
        </row>
        <row r="3031">
          <cell r="D3031">
            <v>253422107120</v>
          </cell>
          <cell r="E3031" t="str">
            <v>LIFTING HOOK</v>
          </cell>
          <cell r="F3031">
            <v>109.05</v>
          </cell>
        </row>
        <row r="3032">
          <cell r="D3032">
            <v>253425108206</v>
          </cell>
          <cell r="E3032" t="str">
            <v>COVER ( FOR INSPECTION WINDOW )</v>
          </cell>
          <cell r="F3032">
            <v>6.91</v>
          </cell>
        </row>
        <row r="3033">
          <cell r="D3033">
            <v>553043903303</v>
          </cell>
          <cell r="E3033" t="str">
            <v>BRACKET,T-CONN MTG</v>
          </cell>
          <cell r="F3033">
            <v>29.55</v>
          </cell>
        </row>
        <row r="3034">
          <cell r="D3034">
            <v>253450103315</v>
          </cell>
          <cell r="E3034" t="str">
            <v>BRACKET RAD MTG (RH-BOTTOM MTG)</v>
          </cell>
          <cell r="F3034">
            <v>43.24</v>
          </cell>
        </row>
        <row r="3035">
          <cell r="D3035">
            <v>553354600132</v>
          </cell>
          <cell r="E3035" t="str">
            <v>ASSY BKT ENGINE INLINE MTG FOR 497 LF</v>
          </cell>
          <cell r="F3035">
            <v>12.02</v>
          </cell>
        </row>
        <row r="3036">
          <cell r="D3036">
            <v>257329309205</v>
          </cell>
          <cell r="E3036" t="str">
            <v>WASHER</v>
          </cell>
          <cell r="F3036">
            <v>0.94</v>
          </cell>
        </row>
        <row r="3037">
          <cell r="D3037">
            <v>264126807153</v>
          </cell>
          <cell r="E3037" t="str">
            <v>BRACKET</v>
          </cell>
          <cell r="F3037">
            <v>50.35</v>
          </cell>
        </row>
        <row r="3038">
          <cell r="D3038">
            <v>264130108230</v>
          </cell>
          <cell r="E3038" t="str">
            <v>BRACKET (ACCL. PEDAL MTG.)</v>
          </cell>
          <cell r="F3038">
            <v>43.53</v>
          </cell>
        </row>
        <row r="3039">
          <cell r="D3039">
            <v>264129000104</v>
          </cell>
          <cell r="E3039" t="str">
            <v>ASSY.BRAKE PEDAL WITH SLEEVE &amp; COVER</v>
          </cell>
          <cell r="F3039">
            <v>164.77</v>
          </cell>
        </row>
        <row r="3040">
          <cell r="D3040">
            <v>264140300111</v>
          </cell>
          <cell r="E3040" t="str">
            <v>ASSY.SPARE WHEEL CARRIER</v>
          </cell>
          <cell r="F3040">
            <v>818.01</v>
          </cell>
        </row>
        <row r="3041">
          <cell r="D3041">
            <v>264147600126</v>
          </cell>
          <cell r="E3041" t="str">
            <v>ASSY.BRACKET</v>
          </cell>
          <cell r="F3041">
            <v>100.98</v>
          </cell>
        </row>
        <row r="3042">
          <cell r="D3042">
            <v>264129200109</v>
          </cell>
          <cell r="E3042" t="str">
            <v>CLUCTH PEDAL ASSY</v>
          </cell>
          <cell r="F3042">
            <v>152.78</v>
          </cell>
        </row>
        <row r="3043">
          <cell r="D3043">
            <v>264149200135</v>
          </cell>
          <cell r="E3043" t="str">
            <v>ASSY.BRACKET</v>
          </cell>
          <cell r="F3043">
            <v>13.55</v>
          </cell>
        </row>
        <row r="3044">
          <cell r="D3044">
            <v>264154100107</v>
          </cell>
          <cell r="E3044" t="str">
            <v>ASSY SUPPORT</v>
          </cell>
          <cell r="F3044">
            <v>211.37</v>
          </cell>
        </row>
        <row r="3045">
          <cell r="D3045">
            <v>265446200198</v>
          </cell>
          <cell r="E3045" t="str">
            <v>ASSY. STAY BRACKET (RHD)</v>
          </cell>
          <cell r="F3045">
            <v>74.41</v>
          </cell>
        </row>
        <row r="3046">
          <cell r="D3046">
            <v>264160100130</v>
          </cell>
          <cell r="E3046" t="str">
            <v>ASSY GUSSET RH FRONT REINFORCEMENT</v>
          </cell>
          <cell r="F3046">
            <v>11.06</v>
          </cell>
        </row>
        <row r="3047">
          <cell r="D3047">
            <v>277615608206</v>
          </cell>
          <cell r="E3047" t="str">
            <v>BRACKET FOR W/H BRANCH CAM SENSOR 697/49</v>
          </cell>
          <cell r="F3047">
            <v>1.68</v>
          </cell>
        </row>
        <row r="3048">
          <cell r="D3048">
            <v>264183100119</v>
          </cell>
          <cell r="E3048" t="str">
            <v>ASSY.BRACKET (PLENUM MTG.) LH</v>
          </cell>
          <cell r="F3048">
            <v>28.13</v>
          </cell>
        </row>
        <row r="3049">
          <cell r="D3049">
            <v>278620140106</v>
          </cell>
          <cell r="E3049" t="str">
            <v>SSY.BRACKET-RH(TOP)FOR FAN RING MTG.</v>
          </cell>
          <cell r="F3049">
            <v>59.44</v>
          </cell>
        </row>
        <row r="3050">
          <cell r="D3050">
            <v>264189100166</v>
          </cell>
          <cell r="E3050" t="str">
            <v>SUPPORT ASSY,REAR MUDGUARD,BOTTOM-RH</v>
          </cell>
          <cell r="F3050">
            <v>194.51</v>
          </cell>
        </row>
        <row r="3051">
          <cell r="D3051">
            <v>289483400315</v>
          </cell>
          <cell r="E3051" t="str">
            <v>ASSY MTG BKT WITH WELD NUT (EURO-V)</v>
          </cell>
          <cell r="F3051">
            <v>5.45</v>
          </cell>
        </row>
        <row r="3052">
          <cell r="D3052">
            <v>264189100193</v>
          </cell>
          <cell r="E3052" t="str">
            <v>TIE MEMBER ASSY,REAR MTG</v>
          </cell>
          <cell r="F3052">
            <v>236.71</v>
          </cell>
        </row>
        <row r="3053">
          <cell r="D3053">
            <v>550254600156</v>
          </cell>
          <cell r="E3053" t="str">
            <v>ASSY SUPPORT BKT FOR E-V LH INTER CONNEC</v>
          </cell>
          <cell r="F3053">
            <v>6.47</v>
          </cell>
        </row>
        <row r="3054">
          <cell r="D3054">
            <v>264230100101</v>
          </cell>
          <cell r="E3054" t="str">
            <v>ASSY ACC. PEDAL WITH BRACKET</v>
          </cell>
          <cell r="F3054">
            <v>155.09</v>
          </cell>
        </row>
        <row r="3055">
          <cell r="D3055">
            <v>264340308201</v>
          </cell>
          <cell r="E3055" t="str">
            <v>REINFORCEMENT</v>
          </cell>
          <cell r="F3055">
            <v>30.83</v>
          </cell>
        </row>
        <row r="3056">
          <cell r="D3056">
            <v>265124208204</v>
          </cell>
          <cell r="E3056" t="str">
            <v>OIL BAFFLE</v>
          </cell>
          <cell r="F3056">
            <v>9.64</v>
          </cell>
        </row>
        <row r="3057">
          <cell r="D3057">
            <v>265472208238</v>
          </cell>
          <cell r="E3057" t="str">
            <v>SUPPORT,DOOR OUTER,RH</v>
          </cell>
          <cell r="F3057">
            <v>6.9</v>
          </cell>
        </row>
        <row r="3058">
          <cell r="D3058">
            <v>265488708220</v>
          </cell>
          <cell r="E3058" t="str">
            <v>BRACKET BONNET STAY ROD</v>
          </cell>
          <cell r="F3058">
            <v>1.64</v>
          </cell>
        </row>
        <row r="3059">
          <cell r="D3059">
            <v>265499006502</v>
          </cell>
          <cell r="E3059" t="str">
            <v>RECTANGULAR NUT M8</v>
          </cell>
          <cell r="F3059">
            <v>2.2400000000000002</v>
          </cell>
        </row>
        <row r="3060">
          <cell r="D3060">
            <v>265732808208</v>
          </cell>
          <cell r="E3060" t="str">
            <v>CLAMP</v>
          </cell>
          <cell r="F3060">
            <v>14.76</v>
          </cell>
        </row>
        <row r="3061">
          <cell r="D3061">
            <v>266335107101</v>
          </cell>
          <cell r="E3061" t="str">
            <v>REINFORCEMENT (REAR COVER)</v>
          </cell>
          <cell r="F3061">
            <v>10.94</v>
          </cell>
        </row>
        <row r="3062">
          <cell r="D3062">
            <v>266433758205</v>
          </cell>
          <cell r="E3062" t="str">
            <v>SEAL HOLDER (INNER).</v>
          </cell>
          <cell r="F3062">
            <v>45.96</v>
          </cell>
        </row>
        <row r="3063">
          <cell r="D3063">
            <v>266535107101</v>
          </cell>
          <cell r="E3063" t="str">
            <v>BRACKET-(REMOTE BREATHER)</v>
          </cell>
          <cell r="F3063">
            <v>15.77</v>
          </cell>
        </row>
        <row r="3064">
          <cell r="D3064">
            <v>267388100101</v>
          </cell>
          <cell r="E3064" t="str">
            <v>HOOK ASSY</v>
          </cell>
          <cell r="F3064">
            <v>109.52</v>
          </cell>
        </row>
        <row r="3065">
          <cell r="D3065">
            <v>267388200105</v>
          </cell>
          <cell r="E3065" t="str">
            <v>PIPE ASSY,BOTTOM MTG,LH</v>
          </cell>
          <cell r="F3065">
            <v>237.9</v>
          </cell>
        </row>
        <row r="3066">
          <cell r="D3066">
            <v>270142803308</v>
          </cell>
          <cell r="E3066" t="str">
            <v>BRACKET</v>
          </cell>
          <cell r="F3066">
            <v>19.25</v>
          </cell>
        </row>
        <row r="3067">
          <cell r="D3067">
            <v>270540300104</v>
          </cell>
          <cell r="E3067" t="str">
            <v>ASSY.SPARE WHEEL CARRIER</v>
          </cell>
          <cell r="F3067">
            <v>935.49</v>
          </cell>
        </row>
        <row r="3068">
          <cell r="D3068">
            <v>270554608206</v>
          </cell>
          <cell r="E3068" t="str">
            <v>BRACKET FOR NBF PARKING &amp; W/H CLAMPING</v>
          </cell>
          <cell r="F3068">
            <v>5.14</v>
          </cell>
        </row>
        <row r="3069">
          <cell r="D3069">
            <v>270654200104</v>
          </cell>
          <cell r="E3069" t="str">
            <v>ASSY BRACKET (HORN MTG)</v>
          </cell>
          <cell r="F3069">
            <v>50.03</v>
          </cell>
        </row>
        <row r="3070">
          <cell r="D3070">
            <v>274760100103</v>
          </cell>
          <cell r="E3070" t="str">
            <v>ASSY.SUPPORT FRONT GRILL</v>
          </cell>
          <cell r="F3070">
            <v>1130.3599999999999</v>
          </cell>
        </row>
        <row r="3071">
          <cell r="D3071">
            <v>274765100106</v>
          </cell>
          <cell r="E3071" t="str">
            <v>ROOF BOW ASSY,MIDDLE</v>
          </cell>
          <cell r="F3071">
            <v>84.66</v>
          </cell>
        </row>
        <row r="3072">
          <cell r="D3072">
            <v>274789110190</v>
          </cell>
          <cell r="E3072" t="str">
            <v>BRACKET ASSY,MUDGUARD MTG,RH</v>
          </cell>
          <cell r="F3072">
            <v>708.83</v>
          </cell>
        </row>
        <row r="3073">
          <cell r="D3073">
            <v>274789130141</v>
          </cell>
          <cell r="E3073" t="str">
            <v>BRACKET ASSY,MUDGUARD MTG,LH</v>
          </cell>
          <cell r="F3073">
            <v>954.54</v>
          </cell>
        </row>
        <row r="3074">
          <cell r="D3074">
            <v>278346200105</v>
          </cell>
          <cell r="E3074" t="str">
            <v>STEERING COLUMN ASSY</v>
          </cell>
          <cell r="F3074">
            <v>253.59</v>
          </cell>
        </row>
        <row r="3075">
          <cell r="D3075">
            <v>267388200106</v>
          </cell>
          <cell r="E3075" t="str">
            <v>PIPE ASSY,BOTTOM MTG,RH</v>
          </cell>
          <cell r="F3075">
            <v>203.72</v>
          </cell>
        </row>
        <row r="3076">
          <cell r="D3076">
            <v>222870130135</v>
          </cell>
          <cell r="E3076" t="str">
            <v>SUPD ASSY,LH</v>
          </cell>
          <cell r="F3076">
            <v>1423.64</v>
          </cell>
        </row>
        <row r="3077">
          <cell r="D3077">
            <v>289854600137</v>
          </cell>
          <cell r="E3077" t="str">
            <v>BRACKET ASSY,RELAY BOX MTG</v>
          </cell>
          <cell r="F3077">
            <v>53.29</v>
          </cell>
        </row>
        <row r="3078">
          <cell r="D3078">
            <v>289854603321</v>
          </cell>
          <cell r="E3078" t="str">
            <v>BRACKET,EMS INTERCONNECTOR MTG</v>
          </cell>
          <cell r="F3078">
            <v>10.02</v>
          </cell>
        </row>
        <row r="3079">
          <cell r="D3079">
            <v>289854603323</v>
          </cell>
          <cell r="E3079" t="str">
            <v>BRACKET,CLIP MTG</v>
          </cell>
          <cell r="F3079">
            <v>2.9</v>
          </cell>
        </row>
        <row r="3080">
          <cell r="D3080">
            <v>215342300133</v>
          </cell>
          <cell r="E3080" t="str">
            <v>ASSY. BRACKET RH</v>
          </cell>
          <cell r="F3080">
            <v>548.11</v>
          </cell>
        </row>
        <row r="3081">
          <cell r="D3081">
            <v>217931200111</v>
          </cell>
          <cell r="E3081" t="str">
            <v>ASSY RUPD BRACKET COMPLETE LH</v>
          </cell>
          <cell r="F3081">
            <v>335</v>
          </cell>
        </row>
        <row r="3082">
          <cell r="D3082">
            <v>252322107101</v>
          </cell>
          <cell r="E3082" t="str">
            <v>LIFTING HOOK FRONT</v>
          </cell>
          <cell r="F3082">
            <v>60.57</v>
          </cell>
        </row>
        <row r="3083">
          <cell r="D3083">
            <v>252520140115</v>
          </cell>
          <cell r="E3083" t="str">
            <v>ASSY.BRACKET-BOTTOM-LH(FAN RING MTG)</v>
          </cell>
          <cell r="F3083">
            <v>65.84</v>
          </cell>
        </row>
        <row r="3084">
          <cell r="D3084">
            <v>252709140354</v>
          </cell>
          <cell r="E3084" t="str">
            <v>BRACKET ASSY,AIR FILTER MTG</v>
          </cell>
          <cell r="F3084">
            <v>1412.8</v>
          </cell>
        </row>
        <row r="3085">
          <cell r="D3085">
            <v>264032100105</v>
          </cell>
          <cell r="E3085" t="str">
            <v>ASSY SHACKLE WITH BUSH</v>
          </cell>
          <cell r="F3085">
            <v>235.19</v>
          </cell>
        </row>
        <row r="3086">
          <cell r="D3086">
            <v>264160100129</v>
          </cell>
          <cell r="E3086" t="str">
            <v>ASSY GUSSET LH FRONT REINFORCEMENT</v>
          </cell>
          <cell r="F3086">
            <v>11.06</v>
          </cell>
        </row>
        <row r="3087">
          <cell r="D3087">
            <v>264189100189</v>
          </cell>
          <cell r="E3087" t="str">
            <v>ASSY.TIE MEMBER(REAR MTG.)LHD COWL</v>
          </cell>
          <cell r="F3087">
            <v>240.36</v>
          </cell>
        </row>
        <row r="3088">
          <cell r="D3088">
            <v>274789118208</v>
          </cell>
          <cell r="E3088" t="str">
            <v>PLATE (CAB MTG.BKT.FRT) (WITH FUPD FIT)</v>
          </cell>
          <cell r="F3088">
            <v>89.45</v>
          </cell>
        </row>
        <row r="3089">
          <cell r="D3089">
            <v>278914113331</v>
          </cell>
          <cell r="E3089" t="str">
            <v>BRACKET,VENT TUBE MTG,BOOSTER SIDE</v>
          </cell>
          <cell r="F3089">
            <v>6.71</v>
          </cell>
        </row>
        <row r="3090">
          <cell r="D3090">
            <v>282115608207</v>
          </cell>
          <cell r="E3090" t="str">
            <v>BRACKET FOR WH SUPPORT AT GSL LOCATION 4</v>
          </cell>
          <cell r="F3090">
            <v>6.39</v>
          </cell>
        </row>
        <row r="3091">
          <cell r="D3091">
            <v>282140300108</v>
          </cell>
          <cell r="E3091" t="str">
            <v>ASSY.SPARE WHEEL CARRIER</v>
          </cell>
          <cell r="F3091">
            <v>942.02</v>
          </cell>
        </row>
        <row r="3092">
          <cell r="D3092">
            <v>289732100167</v>
          </cell>
          <cell r="E3092" t="str">
            <v>UPPER WISHBONE ASSY,LH</v>
          </cell>
          <cell r="F3092">
            <v>2140.63</v>
          </cell>
        </row>
        <row r="3093">
          <cell r="D3093">
            <v>550231200125</v>
          </cell>
          <cell r="E3093" t="str">
            <v>BRACKET ASSY,NOISE SHIELD MTG,FRONT-RH</v>
          </cell>
          <cell r="F3093">
            <v>11.34</v>
          </cell>
        </row>
        <row r="3094">
          <cell r="D3094">
            <v>550254500101</v>
          </cell>
          <cell r="E3094" t="str">
            <v>ASSY. FUSE &amp; RELAY BOX MTG BKT</v>
          </cell>
          <cell r="F3094">
            <v>50.93</v>
          </cell>
        </row>
        <row r="3095">
          <cell r="D3095">
            <v>550254608203</v>
          </cell>
          <cell r="E3095" t="str">
            <v>DOOR CONN SUPPORT LH</v>
          </cell>
          <cell r="F3095">
            <v>9.44</v>
          </cell>
        </row>
        <row r="3096">
          <cell r="D3096">
            <v>550254608204</v>
          </cell>
          <cell r="E3096" t="str">
            <v>DOOR CONN SUPPORT RH</v>
          </cell>
          <cell r="F3096">
            <v>9.44</v>
          </cell>
        </row>
        <row r="3097">
          <cell r="D3097">
            <v>550654608260</v>
          </cell>
          <cell r="E3097" t="str">
            <v>BRACKET ON CROSS MEMBER FOR WH MTG</v>
          </cell>
          <cell r="F3097">
            <v>2.56</v>
          </cell>
        </row>
        <row r="3098">
          <cell r="D3098">
            <v>550743808216</v>
          </cell>
          <cell r="E3098" t="str">
            <v>PARKING BRAKE CABLE MTG BKT</v>
          </cell>
          <cell r="F3098">
            <v>5.51</v>
          </cell>
        </row>
        <row r="3099">
          <cell r="D3099">
            <v>585860100136</v>
          </cell>
          <cell r="E3099" t="str">
            <v>CAB ASSY</v>
          </cell>
          <cell r="F3099">
            <v>69.48</v>
          </cell>
        </row>
        <row r="3100">
          <cell r="D3100">
            <v>585888400134</v>
          </cell>
          <cell r="E3100" t="str">
            <v>BRACKET ASSY,SIDE MTG SUPPORT,LH</v>
          </cell>
          <cell r="F3100">
            <v>13.91</v>
          </cell>
        </row>
        <row r="3101">
          <cell r="D3101">
            <v>585888400135</v>
          </cell>
          <cell r="E3101" t="str">
            <v>BRACKET ASSY,SIDE MTG SUPPORT,RH</v>
          </cell>
          <cell r="F3101">
            <v>13.9</v>
          </cell>
        </row>
        <row r="3102">
          <cell r="D3102">
            <v>277615608211</v>
          </cell>
          <cell r="E3102" t="str">
            <v>BRACKET FOR LAMDBA SENSOR BRANCH SUPPORT</v>
          </cell>
          <cell r="F3102">
            <v>4.53</v>
          </cell>
        </row>
        <row r="3103">
          <cell r="D3103">
            <v>253450103316</v>
          </cell>
          <cell r="E3103" t="str">
            <v>BRACKET RAD MTG (LH-BOTTOM MTG)</v>
          </cell>
          <cell r="F3103">
            <v>43.24</v>
          </cell>
        </row>
        <row r="3104">
          <cell r="D3104">
            <v>278914113368</v>
          </cell>
          <cell r="E3104" t="str">
            <v>BRACKET,VENT TUBE MTG,RESERVOIR SIDE</v>
          </cell>
          <cell r="F3104">
            <v>3.48</v>
          </cell>
        </row>
        <row r="3105">
          <cell r="D3105">
            <v>280930100107</v>
          </cell>
          <cell r="E3105" t="str">
            <v>ASSY PEDAL</v>
          </cell>
          <cell r="F3105">
            <v>156.88</v>
          </cell>
        </row>
        <row r="3106">
          <cell r="D3106">
            <v>282231700120</v>
          </cell>
          <cell r="E3106" t="str">
            <v>BRACKET ASSY,RUPD MTG,RH</v>
          </cell>
          <cell r="F3106">
            <v>157.01</v>
          </cell>
        </row>
        <row r="3107">
          <cell r="D3107">
            <v>282231700121</v>
          </cell>
          <cell r="E3107" t="str">
            <v>BRACKET ASSY,RUPD MTG,LH</v>
          </cell>
          <cell r="F3107">
            <v>157.01</v>
          </cell>
        </row>
        <row r="3108">
          <cell r="D3108">
            <v>284546100104</v>
          </cell>
          <cell r="E3108" t="str">
            <v>ASSY.STEERING MTG. BRACKET LOWER (RHD)</v>
          </cell>
          <cell r="F3108">
            <v>66.739999999999995</v>
          </cell>
        </row>
        <row r="3109">
          <cell r="D3109">
            <v>284554820101</v>
          </cell>
          <cell r="E3109" t="str">
            <v>BRACKET ASSY,WASHER BOTTLE MTG</v>
          </cell>
          <cell r="F3109">
            <v>33.74</v>
          </cell>
        </row>
        <row r="3110">
          <cell r="D3110">
            <v>570650103376</v>
          </cell>
          <cell r="E3110" t="str">
            <v>BRACKET,RADIATOR BOTTOM MTG</v>
          </cell>
          <cell r="F3110">
            <v>213.76</v>
          </cell>
        </row>
        <row r="3111">
          <cell r="D3111">
            <v>555470160102</v>
          </cell>
          <cell r="E3111" t="str">
            <v>SUPD ASSY</v>
          </cell>
          <cell r="F3111">
            <v>483.19</v>
          </cell>
        </row>
        <row r="3112">
          <cell r="D3112">
            <v>555470160105</v>
          </cell>
          <cell r="E3112" t="str">
            <v>SUPD ASSY,LH</v>
          </cell>
          <cell r="F3112">
            <v>746.61</v>
          </cell>
        </row>
        <row r="3113">
          <cell r="D3113">
            <v>264184100104</v>
          </cell>
          <cell r="E3113" t="str">
            <v>BRACKET ASSY,HEADBOX MTG,CENTER-RH</v>
          </cell>
          <cell r="F3113">
            <v>48.38</v>
          </cell>
        </row>
        <row r="3114">
          <cell r="D3114">
            <v>267462610114</v>
          </cell>
          <cell r="E3114" t="str">
            <v>BRACKET ASSY,LH</v>
          </cell>
          <cell r="F3114">
            <v>7.3</v>
          </cell>
        </row>
        <row r="3115">
          <cell r="D3115">
            <v>552970100120</v>
          </cell>
          <cell r="E3115" t="str">
            <v>SUPD ASSY,RH</v>
          </cell>
          <cell r="F3115">
            <v>1180.24</v>
          </cell>
        </row>
        <row r="3116">
          <cell r="D3116">
            <v>552970100183</v>
          </cell>
          <cell r="E3116" t="str">
            <v>SUPD ASSY,LH</v>
          </cell>
          <cell r="F3116">
            <v>834.95</v>
          </cell>
        </row>
        <row r="3117">
          <cell r="D3117">
            <v>552970100184</v>
          </cell>
          <cell r="E3117" t="str">
            <v>SUPD ASSY,RH</v>
          </cell>
          <cell r="F3117">
            <v>1066.67</v>
          </cell>
        </row>
        <row r="3118">
          <cell r="D3118">
            <v>553054800103</v>
          </cell>
          <cell r="E3118" t="str">
            <v>BRACKET ASSY,SPEAKER MTG,LH</v>
          </cell>
          <cell r="F3118">
            <v>33.700000000000003</v>
          </cell>
        </row>
        <row r="3119">
          <cell r="D3119">
            <v>555470160101</v>
          </cell>
          <cell r="E3119" t="str">
            <v>SUPD ASSY</v>
          </cell>
          <cell r="F3119">
            <v>420.75</v>
          </cell>
        </row>
        <row r="3120">
          <cell r="D3120" t="str">
            <v>284569990101ZY</v>
          </cell>
          <cell r="E3120" t="str">
            <v>CLRPRT_ASY_1-HEADLINER BEADING ASSY</v>
          </cell>
          <cell r="F3120">
            <v>616.44000000000005</v>
          </cell>
        </row>
        <row r="3121">
          <cell r="D3121" t="str">
            <v>55476016M10101</v>
          </cell>
          <cell r="E3121" t="str">
            <v>ROOF BOW ASSY</v>
          </cell>
          <cell r="F3121">
            <v>616.46</v>
          </cell>
        </row>
        <row r="3122">
          <cell r="D3122">
            <v>585888210155</v>
          </cell>
          <cell r="E3122" t="str">
            <v>PIPE ASSY,REAR FENDER MTG,LH</v>
          </cell>
          <cell r="F3122">
            <v>552.85</v>
          </cell>
        </row>
        <row r="3123">
          <cell r="D3123">
            <v>585888210156</v>
          </cell>
          <cell r="E3123" t="str">
            <v>PIPE ASSY,REAR FENDER MTG,RH</v>
          </cell>
          <cell r="F3123">
            <v>552.86</v>
          </cell>
        </row>
        <row r="3124">
          <cell r="D3124">
            <v>585888210160</v>
          </cell>
          <cell r="E3124" t="str">
            <v>BRACKET ASSY,REAR FENDER SUPPORT</v>
          </cell>
          <cell r="F3124">
            <v>20.100000000000001</v>
          </cell>
        </row>
        <row r="3125">
          <cell r="D3125">
            <v>289829200118</v>
          </cell>
          <cell r="E3125" t="str">
            <v>BRAKE PEDAL ASSY WITH CONTROL MTG BKT</v>
          </cell>
          <cell r="F3125">
            <v>566.11</v>
          </cell>
        </row>
        <row r="3126">
          <cell r="D3126">
            <v>552970100119</v>
          </cell>
          <cell r="E3126" t="str">
            <v>SUPD ASSY,LH</v>
          </cell>
          <cell r="F3126">
            <v>1180.24</v>
          </cell>
        </row>
        <row r="3127">
          <cell r="D3127">
            <v>206731207178</v>
          </cell>
          <cell r="E3127" t="str">
            <v>SUPPORT (REAR SPRING CROSS MEMBER)</v>
          </cell>
          <cell r="F3127">
            <v>208.99</v>
          </cell>
        </row>
        <row r="3128">
          <cell r="D3128">
            <v>264184100103</v>
          </cell>
          <cell r="E3128" t="str">
            <v>BRACKET ASSY,HEADBOX MTG,CENTER-LH</v>
          </cell>
          <cell r="F3128">
            <v>47.93</v>
          </cell>
        </row>
        <row r="3129">
          <cell r="D3129">
            <v>555470100109</v>
          </cell>
          <cell r="E3129" t="str">
            <v>SUPD ASSY</v>
          </cell>
          <cell r="F3129">
            <v>568.09</v>
          </cell>
        </row>
        <row r="3130">
          <cell r="D3130">
            <v>289864700106</v>
          </cell>
          <cell r="E3130" t="str">
            <v>REINFORCEMENT ASSY,REAR WALL</v>
          </cell>
          <cell r="F3130">
            <v>26.66</v>
          </cell>
        </row>
        <row r="3131">
          <cell r="D3131">
            <v>264189110131</v>
          </cell>
          <cell r="E3131" t="str">
            <v>SUPPORT ASSY,BOTTOM-RH</v>
          </cell>
          <cell r="F3131">
            <v>148.27000000000001</v>
          </cell>
        </row>
        <row r="3132">
          <cell r="D3132">
            <v>269832100118</v>
          </cell>
          <cell r="E3132" t="str">
            <v>ASSY. TOP WISHBONE COMPLETE</v>
          </cell>
          <cell r="F3132">
            <v>1020.01</v>
          </cell>
        </row>
        <row r="3133">
          <cell r="D3133">
            <v>550254100102</v>
          </cell>
          <cell r="E3133" t="str">
            <v>ASSY BATTERY HOLDING CLAMP</v>
          </cell>
          <cell r="F3133">
            <v>34.18</v>
          </cell>
        </row>
        <row r="3134">
          <cell r="D3134">
            <v>553047500102</v>
          </cell>
          <cell r="E3134" t="str">
            <v>FUEL TANK MTG ASSY WITH RUBBER PACKG.</v>
          </cell>
          <cell r="F3134">
            <v>312.22000000000003</v>
          </cell>
        </row>
        <row r="3135">
          <cell r="D3135">
            <v>217926810111</v>
          </cell>
          <cell r="E3135" t="str">
            <v>CABLE ANCHOR BRACKET</v>
          </cell>
          <cell r="F3135">
            <v>31.31</v>
          </cell>
        </row>
        <row r="3136">
          <cell r="D3136">
            <v>222970140121</v>
          </cell>
          <cell r="E3136" t="str">
            <v>SUPD ASSY,RH</v>
          </cell>
          <cell r="F3136">
            <v>1339.16</v>
          </cell>
        </row>
        <row r="3137">
          <cell r="D3137">
            <v>222970150116</v>
          </cell>
          <cell r="E3137" t="str">
            <v>SUPD ASSY,RH</v>
          </cell>
          <cell r="F3137">
            <v>1420.04</v>
          </cell>
        </row>
        <row r="3138">
          <cell r="D3138">
            <v>222970150121</v>
          </cell>
          <cell r="E3138" t="str">
            <v>SUPD ASSY,RH</v>
          </cell>
          <cell r="F3138">
            <v>1914.24</v>
          </cell>
        </row>
        <row r="3139">
          <cell r="D3139">
            <v>222970160177</v>
          </cell>
          <cell r="E3139" t="str">
            <v>SUPD ASSY</v>
          </cell>
          <cell r="F3139">
            <v>1706.64</v>
          </cell>
        </row>
        <row r="3140">
          <cell r="D3140">
            <v>264254200140</v>
          </cell>
          <cell r="E3140" t="str">
            <v>BRACKET ASSY,FUSE BOX MTG</v>
          </cell>
          <cell r="F3140">
            <v>53.22</v>
          </cell>
        </row>
        <row r="3141">
          <cell r="D3141">
            <v>264329100135</v>
          </cell>
          <cell r="E3141" t="str">
            <v>BRAKE PEDAL ASSY WITH BUSH</v>
          </cell>
          <cell r="F3141">
            <v>123.96</v>
          </cell>
        </row>
        <row r="3142">
          <cell r="D3142">
            <v>278620143302</v>
          </cell>
          <cell r="E3142" t="str">
            <v>BRACKET-LH (FOR FAN RING BOTTOM MTG) (B)</v>
          </cell>
          <cell r="F3142">
            <v>20.88</v>
          </cell>
        </row>
        <row r="3143">
          <cell r="D3143">
            <v>282646608209</v>
          </cell>
          <cell r="E3143" t="str">
            <v>BRACKET (DAMPER &amp; ARB MTG.)</v>
          </cell>
          <cell r="F3143">
            <v>35.81</v>
          </cell>
        </row>
        <row r="3144">
          <cell r="D3144">
            <v>287032100197</v>
          </cell>
          <cell r="E3144" t="str">
            <v>ASSY LOWER WISHBONE COMPLETE-RH (INTEGRA</v>
          </cell>
          <cell r="F3144">
            <v>2535.4499999999998</v>
          </cell>
        </row>
        <row r="3145">
          <cell r="D3145">
            <v>550731700122</v>
          </cell>
          <cell r="E3145" t="str">
            <v>FUPD CROSS BEAM ASSY</v>
          </cell>
          <cell r="F3145">
            <v>1896.78</v>
          </cell>
        </row>
        <row r="3146">
          <cell r="D3146">
            <v>550749103324</v>
          </cell>
          <cell r="E3146" t="str">
            <v>HANGER BRACKET</v>
          </cell>
          <cell r="F3146">
            <v>18.52</v>
          </cell>
        </row>
        <row r="3147">
          <cell r="D3147">
            <v>553026820103</v>
          </cell>
          <cell r="E3147" t="str">
            <v>ANCHOR BRACKET ASSY, SHIFT CABLE</v>
          </cell>
          <cell r="F3147">
            <v>84.85</v>
          </cell>
        </row>
        <row r="3148">
          <cell r="D3148">
            <v>570903118201</v>
          </cell>
          <cell r="E3148" t="str">
            <v>COVER,FLYWHEEL HOUSING (TDC)</v>
          </cell>
          <cell r="F3148">
            <v>3.65</v>
          </cell>
        </row>
        <row r="3149">
          <cell r="D3149">
            <v>550246203313</v>
          </cell>
          <cell r="E3149" t="str">
            <v>SUPPORT BRACKET,COLLAPS STG COLUMN</v>
          </cell>
          <cell r="F3149">
            <v>41.6</v>
          </cell>
        </row>
        <row r="3150">
          <cell r="D3150">
            <v>284547504201</v>
          </cell>
          <cell r="E3150" t="str">
            <v>RUBBER CLAMP-10DIA</v>
          </cell>
          <cell r="F3150">
            <v>19.7</v>
          </cell>
        </row>
        <row r="3151">
          <cell r="D3151">
            <v>222870140203</v>
          </cell>
          <cell r="E3151" t="str">
            <v>SUPD ASSY</v>
          </cell>
          <cell r="F3151">
            <v>598.66999999999996</v>
          </cell>
        </row>
        <row r="3152">
          <cell r="D3152">
            <v>222870150158</v>
          </cell>
          <cell r="E3152" t="str">
            <v>SUPD ASSY</v>
          </cell>
          <cell r="F3152">
            <v>1192.99</v>
          </cell>
        </row>
        <row r="3153">
          <cell r="D3153">
            <v>222870170106</v>
          </cell>
          <cell r="E3153" t="str">
            <v>SUPD ASSY,RH</v>
          </cell>
          <cell r="F3153">
            <v>2066.58</v>
          </cell>
        </row>
        <row r="3154">
          <cell r="D3154">
            <v>222870170108</v>
          </cell>
          <cell r="E3154" t="str">
            <v>SUPD ASSY,LH</v>
          </cell>
          <cell r="F3154">
            <v>1412.43</v>
          </cell>
        </row>
        <row r="3155">
          <cell r="D3155">
            <v>222870170109</v>
          </cell>
          <cell r="E3155" t="str">
            <v>SUPD ASSY,RH</v>
          </cell>
          <cell r="F3155">
            <v>1410.23</v>
          </cell>
        </row>
        <row r="3156">
          <cell r="D3156">
            <v>222970010148</v>
          </cell>
          <cell r="E3156" t="str">
            <v>SUPD ASSY,RH</v>
          </cell>
          <cell r="F3156">
            <v>798.76</v>
          </cell>
        </row>
        <row r="3157">
          <cell r="D3157">
            <v>222970100240</v>
          </cell>
          <cell r="E3157" t="str">
            <v>SUPD ASSY,LH</v>
          </cell>
          <cell r="F3157">
            <v>1455.77</v>
          </cell>
        </row>
        <row r="3158">
          <cell r="D3158">
            <v>222970100246</v>
          </cell>
          <cell r="E3158" t="str">
            <v>SUPD ASSY,RH</v>
          </cell>
          <cell r="F3158">
            <v>1455.77</v>
          </cell>
        </row>
        <row r="3159">
          <cell r="D3159">
            <v>222970100252</v>
          </cell>
          <cell r="E3159" t="str">
            <v>SUPD ASSY,LH</v>
          </cell>
          <cell r="F3159">
            <v>1634.86</v>
          </cell>
        </row>
        <row r="3160">
          <cell r="D3160">
            <v>222970100253</v>
          </cell>
          <cell r="E3160" t="str">
            <v>SUPD ASSY,RH</v>
          </cell>
          <cell r="F3160">
            <v>1245.53</v>
          </cell>
        </row>
        <row r="3161">
          <cell r="D3161">
            <v>222970130129</v>
          </cell>
          <cell r="E3161" t="str">
            <v>SUPD ASSY,LH</v>
          </cell>
          <cell r="F3161">
            <v>1276.78</v>
          </cell>
        </row>
        <row r="3162">
          <cell r="D3162">
            <v>222970140155</v>
          </cell>
          <cell r="E3162" t="str">
            <v>SUPD ASSY</v>
          </cell>
          <cell r="F3162">
            <v>568.70000000000005</v>
          </cell>
        </row>
        <row r="3163">
          <cell r="D3163">
            <v>222970140167</v>
          </cell>
          <cell r="E3163" t="str">
            <v>SUPD ASSY,LH</v>
          </cell>
          <cell r="F3163">
            <v>1798.52</v>
          </cell>
        </row>
        <row r="3164">
          <cell r="D3164">
            <v>222970140187</v>
          </cell>
          <cell r="E3164" t="str">
            <v>SUPD ASSY</v>
          </cell>
          <cell r="F3164">
            <v>872.92</v>
          </cell>
        </row>
        <row r="3165">
          <cell r="D3165">
            <v>222970140188</v>
          </cell>
          <cell r="E3165" t="str">
            <v>SUPD ASSY,LH</v>
          </cell>
          <cell r="F3165">
            <v>1504.27</v>
          </cell>
        </row>
        <row r="3166">
          <cell r="D3166">
            <v>222970140189</v>
          </cell>
          <cell r="E3166" t="str">
            <v>SUPD ASSY,RH</v>
          </cell>
          <cell r="F3166">
            <v>1504.27</v>
          </cell>
        </row>
        <row r="3167">
          <cell r="D3167">
            <v>222970140197</v>
          </cell>
          <cell r="E3167" t="str">
            <v>SUPD ASSY,RH</v>
          </cell>
          <cell r="F3167">
            <v>1023.36</v>
          </cell>
        </row>
        <row r="3168">
          <cell r="D3168">
            <v>222970150103</v>
          </cell>
          <cell r="E3168" t="str">
            <v>SUPD ASSY,LH</v>
          </cell>
          <cell r="F3168">
            <v>2077.81</v>
          </cell>
        </row>
        <row r="3169">
          <cell r="D3169">
            <v>222970150113</v>
          </cell>
          <cell r="E3169" t="str">
            <v>SUPD ASSY,LH</v>
          </cell>
          <cell r="F3169">
            <v>1644.05</v>
          </cell>
        </row>
        <row r="3170">
          <cell r="D3170">
            <v>222970150117</v>
          </cell>
          <cell r="E3170" t="str">
            <v>SUPD ASSY,LH</v>
          </cell>
          <cell r="F3170">
            <v>1358.51</v>
          </cell>
        </row>
        <row r="3171">
          <cell r="D3171">
            <v>222970150118</v>
          </cell>
          <cell r="E3171" t="str">
            <v>SUPD ASSY,LH</v>
          </cell>
          <cell r="F3171">
            <v>1914.23</v>
          </cell>
        </row>
        <row r="3172">
          <cell r="D3172">
            <v>222970150130</v>
          </cell>
          <cell r="E3172" t="str">
            <v>SUPD ASSY</v>
          </cell>
          <cell r="F3172">
            <v>842.29</v>
          </cell>
        </row>
        <row r="3173">
          <cell r="D3173">
            <v>222970150136</v>
          </cell>
          <cell r="E3173" t="str">
            <v>SUPD ASSY,LH</v>
          </cell>
          <cell r="F3173">
            <v>882.74</v>
          </cell>
        </row>
        <row r="3174">
          <cell r="D3174">
            <v>222970150137</v>
          </cell>
          <cell r="E3174" t="str">
            <v>SUPD ASSY,RH</v>
          </cell>
          <cell r="F3174">
            <v>1129.82</v>
          </cell>
        </row>
        <row r="3175">
          <cell r="D3175">
            <v>222970150170</v>
          </cell>
          <cell r="E3175" t="str">
            <v>SUPD ASSY,RH</v>
          </cell>
          <cell r="F3175">
            <v>801.43</v>
          </cell>
        </row>
        <row r="3176">
          <cell r="D3176">
            <v>222970160108</v>
          </cell>
          <cell r="E3176" t="str">
            <v>SUPD ASSY</v>
          </cell>
          <cell r="F3176">
            <v>864.25</v>
          </cell>
        </row>
        <row r="3177">
          <cell r="D3177">
            <v>222970160143</v>
          </cell>
          <cell r="E3177" t="str">
            <v>SUPD ASSY,RH</v>
          </cell>
          <cell r="F3177">
            <v>750.94</v>
          </cell>
        </row>
        <row r="3178">
          <cell r="D3178">
            <v>222970160144</v>
          </cell>
          <cell r="E3178" t="str">
            <v>SUPD ASSY,RH</v>
          </cell>
          <cell r="F3178">
            <v>1171.8599999999999</v>
          </cell>
        </row>
        <row r="3179">
          <cell r="D3179">
            <v>222970160146</v>
          </cell>
          <cell r="E3179" t="str">
            <v>SUPD ASSY,LH</v>
          </cell>
          <cell r="F3179">
            <v>901.75</v>
          </cell>
        </row>
        <row r="3180">
          <cell r="D3180">
            <v>222970160150</v>
          </cell>
          <cell r="E3180" t="str">
            <v>SUPD ASSY,RH</v>
          </cell>
          <cell r="F3180">
            <v>945.72</v>
          </cell>
        </row>
        <row r="3181">
          <cell r="D3181">
            <v>222970900131</v>
          </cell>
          <cell r="E3181" t="str">
            <v>SUPD ASSY,RH</v>
          </cell>
          <cell r="F3181">
            <v>564.86</v>
          </cell>
        </row>
        <row r="3182">
          <cell r="D3182">
            <v>252503118210</v>
          </cell>
          <cell r="E3182" t="str">
            <v>COVER</v>
          </cell>
          <cell r="F3182">
            <v>9.82</v>
          </cell>
        </row>
        <row r="3183">
          <cell r="D3183">
            <v>252722107115</v>
          </cell>
          <cell r="E3183" t="str">
            <v>LIFTING HOOK (FRONT)</v>
          </cell>
          <cell r="F3183">
            <v>65.069999999999993</v>
          </cell>
        </row>
        <row r="3184">
          <cell r="D3184">
            <v>260043503307</v>
          </cell>
          <cell r="E3184" t="str">
            <v>BRACKET</v>
          </cell>
          <cell r="F3184">
            <v>45.1</v>
          </cell>
        </row>
        <row r="3185">
          <cell r="D3185">
            <v>264181103304</v>
          </cell>
          <cell r="E3185" t="str">
            <v>BRACKET</v>
          </cell>
          <cell r="F3185">
            <v>4.8099999999999996</v>
          </cell>
        </row>
        <row r="3186">
          <cell r="D3186">
            <v>264247608214</v>
          </cell>
          <cell r="E3186" t="str">
            <v>BRACKET FOR STRAINER MOUNTING</v>
          </cell>
          <cell r="F3186">
            <v>12.21</v>
          </cell>
        </row>
        <row r="3187">
          <cell r="D3187">
            <v>264354200106</v>
          </cell>
          <cell r="E3187" t="str">
            <v>ASSY.BRACKET (STARTER RELAY MTG.)</v>
          </cell>
          <cell r="F3187">
            <v>43.23</v>
          </cell>
        </row>
        <row r="3188">
          <cell r="D3188">
            <v>265146200123</v>
          </cell>
          <cell r="E3188" t="str">
            <v>ASSY.STG.GEAR BOX/CAB MTG.BRACKET.</v>
          </cell>
          <cell r="F3188">
            <v>117.22</v>
          </cell>
        </row>
        <row r="3189">
          <cell r="D3189">
            <v>265162600114</v>
          </cell>
          <cell r="E3189" t="str">
            <v>ASSY BRACKET</v>
          </cell>
          <cell r="F3189">
            <v>26.26</v>
          </cell>
        </row>
        <row r="3190">
          <cell r="D3190">
            <v>265162600127</v>
          </cell>
          <cell r="E3190" t="str">
            <v>ASSY.BRACKET R.H.(WHEEL BOX MTG)</v>
          </cell>
          <cell r="F3190">
            <v>33.65</v>
          </cell>
        </row>
        <row r="3191">
          <cell r="D3191">
            <v>265242700142</v>
          </cell>
          <cell r="E3191" t="str">
            <v>HOOK ASSY FOR PARKING CABLE REAR LH</v>
          </cell>
          <cell r="F3191">
            <v>8.6</v>
          </cell>
        </row>
        <row r="3192">
          <cell r="D3192">
            <v>265732400108</v>
          </cell>
          <cell r="E3192" t="str">
            <v>SPACER ASSY,REAR SPRING</v>
          </cell>
          <cell r="F3192">
            <v>131.32</v>
          </cell>
        </row>
        <row r="3193">
          <cell r="D3193">
            <v>265754603301</v>
          </cell>
          <cell r="E3193" t="str">
            <v>BRACKET,FUSE BOX MTG</v>
          </cell>
          <cell r="F3193">
            <v>63.38</v>
          </cell>
        </row>
        <row r="3194">
          <cell r="D3194">
            <v>267484100103</v>
          </cell>
          <cell r="E3194" t="str">
            <v>BRACKET ASSY,HEADBOX MTG,CENTER-LH</v>
          </cell>
          <cell r="F3194">
            <v>39.69</v>
          </cell>
        </row>
        <row r="3195">
          <cell r="D3195">
            <v>267484100104</v>
          </cell>
          <cell r="E3195" t="str">
            <v>BRACKET ASSY,HEADBOX MTG,CENTER-RH</v>
          </cell>
          <cell r="F3195">
            <v>39.08</v>
          </cell>
        </row>
        <row r="3196">
          <cell r="D3196">
            <v>282170150101</v>
          </cell>
          <cell r="E3196" t="str">
            <v>SUPD ASSY,LH</v>
          </cell>
          <cell r="F3196">
            <v>1290.95</v>
          </cell>
        </row>
        <row r="3197">
          <cell r="D3197">
            <v>282170150102</v>
          </cell>
          <cell r="E3197" t="str">
            <v>SUPD ASSY,RH</v>
          </cell>
          <cell r="F3197">
            <v>1290.95</v>
          </cell>
        </row>
        <row r="3198">
          <cell r="D3198">
            <v>282654200112</v>
          </cell>
          <cell r="E3198" t="str">
            <v>ASSY.CHANNEL MAGNETIC VALVE</v>
          </cell>
          <cell r="F3198">
            <v>13.23</v>
          </cell>
        </row>
        <row r="3199">
          <cell r="D3199">
            <v>284569500122</v>
          </cell>
          <cell r="E3199" t="str">
            <v>ASSY HEADLINER BEADING 3200 FLAT ROOF</v>
          </cell>
          <cell r="F3199">
            <v>57.72</v>
          </cell>
        </row>
        <row r="3200">
          <cell r="D3200">
            <v>284643903308</v>
          </cell>
          <cell r="E3200" t="str">
            <v>STRAIGHT BRACKET</v>
          </cell>
          <cell r="F3200">
            <v>110.27</v>
          </cell>
        </row>
        <row r="3201">
          <cell r="D3201">
            <v>289846600104</v>
          </cell>
          <cell r="E3201" t="str">
            <v>ASSY. RESERVOIR MOUNTING BRACKET</v>
          </cell>
          <cell r="F3201">
            <v>14.47</v>
          </cell>
        </row>
        <row r="3202">
          <cell r="D3202">
            <v>289854608206</v>
          </cell>
          <cell r="E3202" t="str">
            <v>BKT NEAR LIFTING HOOK</v>
          </cell>
          <cell r="F3202">
            <v>6.39</v>
          </cell>
        </row>
        <row r="3203">
          <cell r="D3203">
            <v>418320153303</v>
          </cell>
          <cell r="E3203" t="str">
            <v>Z BKT (HOSE CLAMPING)</v>
          </cell>
          <cell r="F3203">
            <v>35.07</v>
          </cell>
        </row>
        <row r="3204">
          <cell r="D3204">
            <v>502360100171</v>
          </cell>
          <cell r="E3204" t="str">
            <v>DRIVER STATION ASSY WITH CED COATING</v>
          </cell>
          <cell r="F3204">
            <v>21503.06</v>
          </cell>
        </row>
        <row r="3205">
          <cell r="D3205">
            <v>508954850104</v>
          </cell>
          <cell r="E3205" t="str">
            <v>BRACKET ASSY,CONTROLLER MTG</v>
          </cell>
          <cell r="F3205">
            <v>35.909999999999997</v>
          </cell>
        </row>
        <row r="3206">
          <cell r="D3206">
            <v>511870110201</v>
          </cell>
          <cell r="E3206" t="str">
            <v>SUPD ASSY,LH</v>
          </cell>
          <cell r="F3206">
            <v>960.71</v>
          </cell>
        </row>
        <row r="3207">
          <cell r="D3207">
            <v>511870110202</v>
          </cell>
          <cell r="E3207" t="str">
            <v>SUPD ASSY,RH</v>
          </cell>
          <cell r="F3207">
            <v>960.71</v>
          </cell>
        </row>
        <row r="3208">
          <cell r="D3208">
            <v>512040300101</v>
          </cell>
          <cell r="E3208" t="str">
            <v>SPACER PLATE ASSY,SPARE WHEEL MTG BKT</v>
          </cell>
          <cell r="F3208">
            <v>135.91</v>
          </cell>
        </row>
        <row r="3209">
          <cell r="D3209">
            <v>550654600108</v>
          </cell>
          <cell r="E3209" t="str">
            <v>BRACKET ASSY(FRONT &amp; REAR ABS INLINE MTG</v>
          </cell>
          <cell r="F3209">
            <v>6.78</v>
          </cell>
        </row>
        <row r="3210">
          <cell r="D3210">
            <v>553070100103</v>
          </cell>
          <cell r="E3210" t="str">
            <v>SUPD ASSY,LH</v>
          </cell>
          <cell r="F3210">
            <v>1520</v>
          </cell>
        </row>
        <row r="3211">
          <cell r="D3211">
            <v>553070100104</v>
          </cell>
          <cell r="E3211" t="str">
            <v>SUPD ASSY,RH</v>
          </cell>
          <cell r="F3211">
            <v>1520</v>
          </cell>
        </row>
        <row r="3212">
          <cell r="D3212">
            <v>553241108201</v>
          </cell>
          <cell r="E3212" t="str">
            <v>GUARD,PROPELLER SHAFT</v>
          </cell>
          <cell r="F3212">
            <v>48.12</v>
          </cell>
        </row>
        <row r="3213">
          <cell r="D3213">
            <v>553249200154</v>
          </cell>
          <cell r="E3213" t="str">
            <v>BRACKET ASSY</v>
          </cell>
          <cell r="F3213">
            <v>77.97</v>
          </cell>
        </row>
        <row r="3214">
          <cell r="D3214">
            <v>570614603330</v>
          </cell>
          <cell r="E3214" t="str">
            <v>SUPPORT BRACKET</v>
          </cell>
          <cell r="F3214">
            <v>38.79</v>
          </cell>
        </row>
        <row r="3215">
          <cell r="D3215">
            <v>585860100114</v>
          </cell>
          <cell r="E3215" t="str">
            <v>ASSY ROOF BOW FRONT</v>
          </cell>
          <cell r="F3215">
            <v>158.62</v>
          </cell>
        </row>
        <row r="3216">
          <cell r="D3216">
            <v>585860100121</v>
          </cell>
          <cell r="E3216" t="str">
            <v>ASSY ROOF BOW FRONT NRW</v>
          </cell>
          <cell r="F3216">
            <v>147.52000000000001</v>
          </cell>
        </row>
        <row r="3217">
          <cell r="D3217">
            <v>585860100144</v>
          </cell>
          <cell r="E3217" t="str">
            <v>RAIL ASSY,FRONT-TOP</v>
          </cell>
          <cell r="F3217">
            <v>328.51</v>
          </cell>
        </row>
        <row r="3218">
          <cell r="D3218">
            <v>550740300114</v>
          </cell>
          <cell r="E3218" t="str">
            <v>BKT. STRUCTURE ASSY.</v>
          </cell>
          <cell r="F3218">
            <v>589.99</v>
          </cell>
        </row>
        <row r="3219">
          <cell r="D3219">
            <v>550840300120</v>
          </cell>
          <cell r="E3219" t="str">
            <v>BRACKET STRUCTURE ASSY</v>
          </cell>
          <cell r="F3219">
            <v>529.39</v>
          </cell>
        </row>
        <row r="3220">
          <cell r="D3220">
            <v>264740300101</v>
          </cell>
          <cell r="E3220" t="str">
            <v>HANDLE ASSY</v>
          </cell>
          <cell r="F3220">
            <v>208.23</v>
          </cell>
        </row>
        <row r="3221">
          <cell r="D3221">
            <v>508547507122</v>
          </cell>
          <cell r="E3221" t="str">
            <v>SPACER</v>
          </cell>
          <cell r="F3221">
            <v>7.47</v>
          </cell>
        </row>
        <row r="3222">
          <cell r="D3222">
            <v>274789110107</v>
          </cell>
          <cell r="E3222" t="str">
            <v>ASSY SLEEVE &amp; BUSH (CAB MTG.BKT REAR CAB</v>
          </cell>
          <cell r="F3222">
            <v>86.7</v>
          </cell>
        </row>
        <row r="3223">
          <cell r="D3223">
            <v>264189120165</v>
          </cell>
          <cell r="E3223" t="str">
            <v>LEVER ASSY,DAMPER GUIDE</v>
          </cell>
          <cell r="F3223">
            <v>232.98</v>
          </cell>
        </row>
        <row r="3224">
          <cell r="D3224">
            <v>264189100197</v>
          </cell>
          <cell r="E3224" t="str">
            <v>ASSY.MTG.BRACKET FRONT COMPLT. LH</v>
          </cell>
          <cell r="F3224">
            <v>339.2</v>
          </cell>
        </row>
        <row r="3225">
          <cell r="D3225">
            <v>264130106010</v>
          </cell>
          <cell r="E3225" t="str">
            <v>LINK ROD</v>
          </cell>
          <cell r="F3225">
            <v>5.59</v>
          </cell>
        </row>
        <row r="3226">
          <cell r="D3226">
            <v>264329100136</v>
          </cell>
          <cell r="E3226" t="str">
            <v>ASSY PEDAL LEVER (BRAKE) LHD</v>
          </cell>
          <cell r="F3226">
            <v>122.23</v>
          </cell>
        </row>
        <row r="3227">
          <cell r="D3227">
            <v>264130106011</v>
          </cell>
          <cell r="E3227" t="str">
            <v>ACCELERATOR LEVER</v>
          </cell>
          <cell r="F3227">
            <v>15.04</v>
          </cell>
        </row>
        <row r="3228">
          <cell r="D3228">
            <v>216349208289</v>
          </cell>
          <cell r="E3228" t="str">
            <v>CLAMP</v>
          </cell>
          <cell r="F3228">
            <v>178.23</v>
          </cell>
        </row>
        <row r="3229">
          <cell r="D3229">
            <v>264330100119</v>
          </cell>
          <cell r="E3229" t="str">
            <v>ASSY.ACCELERATOR PEDAL-LHD</v>
          </cell>
          <cell r="F3229">
            <v>40</v>
          </cell>
        </row>
        <row r="3230">
          <cell r="D3230">
            <v>278330100106</v>
          </cell>
          <cell r="E3230" t="str">
            <v>ASSY ACCELERATOR PEDAL WITH BRACKET</v>
          </cell>
          <cell r="F3230">
            <v>152.76</v>
          </cell>
        </row>
        <row r="3231">
          <cell r="D3231">
            <v>264130100161</v>
          </cell>
          <cell r="E3231" t="str">
            <v>ASSY. PEDAL LEVER ACCELERATOR (LHD)</v>
          </cell>
          <cell r="F3231">
            <v>51.06</v>
          </cell>
        </row>
        <row r="3232">
          <cell r="D3232">
            <v>886386000001</v>
          </cell>
          <cell r="E3232" t="str">
            <v>ASSY STRETCHER 3200 WB. W/ BASE FRAME BS</v>
          </cell>
          <cell r="F3232">
            <v>27811</v>
          </cell>
        </row>
        <row r="3233">
          <cell r="D3233">
            <v>215889100103</v>
          </cell>
          <cell r="E3233" t="str">
            <v>ASSY. CROSS TUBE (TORSION BAR)-LHD</v>
          </cell>
          <cell r="F3233">
            <v>1292.5</v>
          </cell>
        </row>
        <row r="3234">
          <cell r="D3234">
            <v>252709140196</v>
          </cell>
          <cell r="E3234" t="str">
            <v>ASSY. AIR FILTER MTG BRACKET 497 Y1 LPT</v>
          </cell>
          <cell r="F3234">
            <v>572.45000000000005</v>
          </cell>
        </row>
        <row r="3235">
          <cell r="D3235">
            <v>252720140111</v>
          </cell>
          <cell r="E3235" t="str">
            <v>ASSY. BRACKET (FAN RING) BOTTOM LH SIDE</v>
          </cell>
          <cell r="F3235">
            <v>28.22</v>
          </cell>
        </row>
        <row r="3236">
          <cell r="D3236">
            <v>257640307108</v>
          </cell>
          <cell r="E3236" t="str">
            <v>RATCHET WHEEL</v>
          </cell>
          <cell r="F3236">
            <v>30.25</v>
          </cell>
        </row>
        <row r="3237">
          <cell r="D3237">
            <v>264040300105</v>
          </cell>
          <cell r="E3237" t="str">
            <v>ASSY HANDLE</v>
          </cell>
          <cell r="F3237">
            <v>192.84</v>
          </cell>
        </row>
        <row r="3238">
          <cell r="D3238">
            <v>264189103403</v>
          </cell>
          <cell r="E3238" t="str">
            <v>SERRATED BUSH RH (ASSY.CROSS TUBE)</v>
          </cell>
          <cell r="F3238">
            <v>174.63</v>
          </cell>
        </row>
        <row r="3239">
          <cell r="D3239">
            <v>264189120174</v>
          </cell>
          <cell r="E3239" t="str">
            <v>STUD ASSY</v>
          </cell>
          <cell r="F3239">
            <v>12.68</v>
          </cell>
        </row>
        <row r="3240">
          <cell r="D3240">
            <v>264330107701</v>
          </cell>
          <cell r="E3240" t="str">
            <v>COVER (FOR ACCELERATOR PEDAL)</v>
          </cell>
          <cell r="F3240">
            <v>20.77</v>
          </cell>
        </row>
        <row r="3241">
          <cell r="D3241">
            <v>264740300103</v>
          </cell>
          <cell r="E3241" t="str">
            <v>ASSY.SPARE WHEEL CARRIER</v>
          </cell>
          <cell r="F3241">
            <v>887.61</v>
          </cell>
        </row>
        <row r="3242">
          <cell r="D3242">
            <v>264746200102</v>
          </cell>
          <cell r="E3242" t="str">
            <v>ASSY. STEERING BRACKET</v>
          </cell>
          <cell r="F3242">
            <v>735.12</v>
          </cell>
        </row>
        <row r="3243">
          <cell r="D3243">
            <v>265432109215</v>
          </cell>
          <cell r="E3243" t="str">
            <v>WASHER</v>
          </cell>
          <cell r="F3243">
            <v>7.5</v>
          </cell>
        </row>
        <row r="3244">
          <cell r="D3244">
            <v>269832100136</v>
          </cell>
          <cell r="E3244" t="str">
            <v>SUB. ASSY. LOWER WISHBONE (RH)</v>
          </cell>
          <cell r="F3244">
            <v>983.48</v>
          </cell>
        </row>
        <row r="3245">
          <cell r="D3245">
            <v>270454700105</v>
          </cell>
          <cell r="E3245" t="str">
            <v>ASSY. CAR FAN M/S.CHAPHEKAR ENGG.</v>
          </cell>
          <cell r="F3245">
            <v>869.45</v>
          </cell>
        </row>
        <row r="3246">
          <cell r="D3246">
            <v>270530106001</v>
          </cell>
          <cell r="E3246" t="str">
            <v>LINK ROD</v>
          </cell>
          <cell r="F3246">
            <v>6.61</v>
          </cell>
        </row>
        <row r="3247">
          <cell r="D3247">
            <v>270632100103</v>
          </cell>
          <cell r="E3247" t="str">
            <v>ASSY.BRACKET FRONT FOR FRONT SPRING</v>
          </cell>
          <cell r="F3247">
            <v>299.51</v>
          </cell>
        </row>
        <row r="3248">
          <cell r="D3248">
            <v>278909130171</v>
          </cell>
          <cell r="E3248" t="str">
            <v>BRACKET,AIR FILTER MTG,FRONT</v>
          </cell>
          <cell r="F3248">
            <v>101.33</v>
          </cell>
        </row>
        <row r="3249">
          <cell r="D3249">
            <v>279915140115</v>
          </cell>
          <cell r="E3249" t="str">
            <v>ASSY.STAY (FOR ALTERNATOR)</v>
          </cell>
          <cell r="F3249">
            <v>48.99</v>
          </cell>
        </row>
        <row r="3250">
          <cell r="D3250">
            <v>282140300109</v>
          </cell>
          <cell r="E3250" t="str">
            <v>ASSY.BRACKET (SPARE WHEEL MOUNTING)</v>
          </cell>
          <cell r="F3250">
            <v>314.76</v>
          </cell>
        </row>
        <row r="3251">
          <cell r="D3251">
            <v>284586000129</v>
          </cell>
          <cell r="E3251" t="str">
            <v>ASSY LOCK STRETCHER</v>
          </cell>
          <cell r="F3251">
            <v>110</v>
          </cell>
        </row>
        <row r="3252">
          <cell r="D3252">
            <v>284586100101</v>
          </cell>
          <cell r="E3252" t="str">
            <v>STRETCHER ASSY</v>
          </cell>
          <cell r="F3252">
            <v>26732.51</v>
          </cell>
        </row>
        <row r="3253">
          <cell r="D3253">
            <v>284586100107</v>
          </cell>
          <cell r="E3253" t="str">
            <v>ACTUATING PIPE,STRETCHER ASSY</v>
          </cell>
          <cell r="F3253">
            <v>413.1</v>
          </cell>
        </row>
        <row r="3254">
          <cell r="D3254">
            <v>284586100111</v>
          </cell>
          <cell r="E3254" t="str">
            <v>LEG,STRETCHER ASSY</v>
          </cell>
          <cell r="F3254">
            <v>4698</v>
          </cell>
        </row>
        <row r="3255">
          <cell r="D3255">
            <v>284586100112</v>
          </cell>
          <cell r="E3255" t="str">
            <v>LOCK,STRETCHER ASSY</v>
          </cell>
          <cell r="F3255">
            <v>479.68</v>
          </cell>
        </row>
        <row r="3256">
          <cell r="D3256">
            <v>284586100114</v>
          </cell>
          <cell r="E3256" t="str">
            <v>IV STAND,STRETCHER ASSY</v>
          </cell>
          <cell r="F3256">
            <v>446.39</v>
          </cell>
        </row>
        <row r="3257">
          <cell r="D3257">
            <v>284586100115</v>
          </cell>
          <cell r="E3257" t="str">
            <v>HEADREST LEVER,STRETCHER ASSY</v>
          </cell>
          <cell r="F3257">
            <v>1266</v>
          </cell>
        </row>
        <row r="3258">
          <cell r="D3258">
            <v>284586100116</v>
          </cell>
          <cell r="E3258" t="str">
            <v>GUARD,STRETCHER ASSY</v>
          </cell>
          <cell r="F3258">
            <v>869.5</v>
          </cell>
        </row>
        <row r="3259">
          <cell r="D3259">
            <v>284586100118</v>
          </cell>
          <cell r="E3259" t="str">
            <v>CUSHION,STRETCHER ASSY</v>
          </cell>
          <cell r="F3259">
            <v>4500</v>
          </cell>
        </row>
        <row r="3260">
          <cell r="D3260">
            <v>284586100119</v>
          </cell>
          <cell r="E3260" t="str">
            <v>FOOTREST LOCK,STRETCHER ASSY</v>
          </cell>
          <cell r="F3260">
            <v>246.5</v>
          </cell>
        </row>
        <row r="3261">
          <cell r="D3261">
            <v>284586100127</v>
          </cell>
          <cell r="E3261" t="str">
            <v>SAFETY PIN,STRETCHER ASSY</v>
          </cell>
          <cell r="F3261">
            <v>135</v>
          </cell>
        </row>
        <row r="3262">
          <cell r="D3262">
            <v>284586100129</v>
          </cell>
          <cell r="E3262" t="str">
            <v>HINGE,STRETCHER ASSY</v>
          </cell>
          <cell r="F3262">
            <v>3780</v>
          </cell>
        </row>
        <row r="3263">
          <cell r="D3263">
            <v>284586106301</v>
          </cell>
          <cell r="E3263" t="str">
            <v>IDLE WHEEL,STRETCHER ASSY</v>
          </cell>
          <cell r="F3263">
            <v>677.5</v>
          </cell>
        </row>
        <row r="3264">
          <cell r="D3264">
            <v>284586106302</v>
          </cell>
          <cell r="E3264" t="str">
            <v>WHEEL,STRETCHER ASSY</v>
          </cell>
          <cell r="F3264">
            <v>1295.0999999999999</v>
          </cell>
        </row>
        <row r="3265">
          <cell r="D3265">
            <v>284586108220</v>
          </cell>
          <cell r="E3265" t="str">
            <v>SPRING,STRETCHER ASSY</v>
          </cell>
          <cell r="F3265">
            <v>128.5</v>
          </cell>
        </row>
        <row r="3266">
          <cell r="D3266">
            <v>284586108226</v>
          </cell>
          <cell r="E3266" t="str">
            <v>RAIL,STRETCHER ASSY</v>
          </cell>
          <cell r="F3266">
            <v>605.45000000000005</v>
          </cell>
        </row>
        <row r="3267">
          <cell r="D3267">
            <v>284586800115</v>
          </cell>
          <cell r="E3267" t="str">
            <v>HAND RAIL &amp; HAND HOLD</v>
          </cell>
          <cell r="F3267">
            <v>13.9</v>
          </cell>
        </row>
        <row r="3268">
          <cell r="D3268">
            <v>284586800123</v>
          </cell>
          <cell r="E3268" t="str">
            <v>PUBLIC ADDRESS SYSTEM</v>
          </cell>
          <cell r="F3268">
            <v>4036.37</v>
          </cell>
        </row>
        <row r="3269">
          <cell r="D3269">
            <v>289443813305</v>
          </cell>
          <cell r="E3269" t="str">
            <v>BRACKET ABS FRONT SENSOR RH</v>
          </cell>
          <cell r="F3269">
            <v>7.71</v>
          </cell>
        </row>
        <row r="3270">
          <cell r="D3270">
            <v>289443813306</v>
          </cell>
          <cell r="E3270" t="str">
            <v>BRACKET ABS FRONT SENSOR LH</v>
          </cell>
          <cell r="F3270">
            <v>7.33</v>
          </cell>
        </row>
        <row r="3271">
          <cell r="D3271">
            <v>289732100128</v>
          </cell>
          <cell r="E3271" t="str">
            <v>SUB ASSY. LOWER WISHBONE - LH</v>
          </cell>
          <cell r="F3271">
            <v>1041.3</v>
          </cell>
        </row>
        <row r="3272">
          <cell r="D3272">
            <v>289732100129</v>
          </cell>
          <cell r="E3272" t="str">
            <v>SUB ASSY LOWER WISHBONE WITH BUSH - RH</v>
          </cell>
          <cell r="F3272">
            <v>1162.8499999999999</v>
          </cell>
        </row>
        <row r="3273">
          <cell r="D3273">
            <v>289732100130</v>
          </cell>
          <cell r="E3273" t="str">
            <v>SUB ASSY. LOWER WISHBONE WITH BUSH - LH</v>
          </cell>
          <cell r="F3273">
            <v>1162.8499999999999</v>
          </cell>
        </row>
        <row r="3274">
          <cell r="D3274">
            <v>289842700144</v>
          </cell>
          <cell r="E3274" t="str">
            <v>BRACKET ASSY,FRONT CABLE MTG</v>
          </cell>
          <cell r="F3274">
            <v>71.900000000000006</v>
          </cell>
        </row>
        <row r="3275">
          <cell r="D3275">
            <v>289842700145</v>
          </cell>
          <cell r="E3275" t="str">
            <v>BRACKET ASSY,CABLE MTG,REAR</v>
          </cell>
          <cell r="F3275">
            <v>107.23</v>
          </cell>
        </row>
        <row r="3276">
          <cell r="D3276">
            <v>289861608215</v>
          </cell>
          <cell r="E3276" t="str">
            <v>REINFORCEMENT EXTENSION,LH</v>
          </cell>
          <cell r="F3276">
            <v>25.53</v>
          </cell>
        </row>
        <row r="3277">
          <cell r="D3277">
            <v>550230100104</v>
          </cell>
          <cell r="E3277" t="str">
            <v>ASSY ACCELERATO ROD (XENON PETROL LHD)</v>
          </cell>
          <cell r="F3277">
            <v>58.42</v>
          </cell>
        </row>
        <row r="3278">
          <cell r="D3278">
            <v>550529300107</v>
          </cell>
          <cell r="E3278" t="str">
            <v>BRACKET ASSY,BOOSTER MTG</v>
          </cell>
          <cell r="F3278">
            <v>312.14999999999998</v>
          </cell>
        </row>
        <row r="3279">
          <cell r="D3279">
            <v>553054608201</v>
          </cell>
          <cell r="E3279" t="str">
            <v>BATTERY CABLE MOUNTING BRACKET</v>
          </cell>
          <cell r="F3279">
            <v>11.21</v>
          </cell>
        </row>
        <row r="3280">
          <cell r="D3280">
            <v>570650103327</v>
          </cell>
          <cell r="E3280" t="str">
            <v>BRACKET ASSY,RAD TO BASE FRAME MTG,RH</v>
          </cell>
          <cell r="F3280">
            <v>154.49</v>
          </cell>
        </row>
        <row r="3281">
          <cell r="D3281">
            <v>58586010011935</v>
          </cell>
          <cell r="E3281" t="str">
            <v>ASSY ROOF STRUCTURE COMPLETE CED COATE</v>
          </cell>
          <cell r="F3281">
            <v>899.56</v>
          </cell>
        </row>
        <row r="3282">
          <cell r="D3282">
            <v>886354000108</v>
          </cell>
          <cell r="E3282" t="str">
            <v>ASSY PA SYSTEM</v>
          </cell>
          <cell r="F3282">
            <v>3500</v>
          </cell>
        </row>
        <row r="3283">
          <cell r="D3283">
            <v>886354000125</v>
          </cell>
          <cell r="E3283" t="str">
            <v>SIREN</v>
          </cell>
          <cell r="F3283">
            <v>2700</v>
          </cell>
        </row>
        <row r="3284">
          <cell r="D3284">
            <v>886354000596</v>
          </cell>
          <cell r="E3284" t="str">
            <v>BAR LIGHT BS6</v>
          </cell>
          <cell r="F3284">
            <v>18900</v>
          </cell>
        </row>
        <row r="3285">
          <cell r="D3285">
            <v>265432130140</v>
          </cell>
          <cell r="E3285" t="str">
            <v>ASSY. CROSS MEMBER REAR (LOWER WB. MTG.)</v>
          </cell>
          <cell r="F3285">
            <v>720.12</v>
          </cell>
        </row>
        <row r="3286">
          <cell r="D3286">
            <v>284629100103</v>
          </cell>
          <cell r="E3286" t="str">
            <v>ASSY. CONTROLS COMPLETE.</v>
          </cell>
          <cell r="F3286">
            <v>1032.74</v>
          </cell>
        </row>
        <row r="3287">
          <cell r="D3287">
            <v>253414130110</v>
          </cell>
          <cell r="E3287" t="str">
            <v>ASSY.HEAT SHIELD(SHEET METAL)</v>
          </cell>
          <cell r="F3287">
            <v>36.75</v>
          </cell>
        </row>
        <row r="3288">
          <cell r="D3288">
            <v>207331707202</v>
          </cell>
          <cell r="E3288" t="str">
            <v>TOW HOOK</v>
          </cell>
          <cell r="F3288">
            <v>148.31</v>
          </cell>
        </row>
        <row r="3289">
          <cell r="D3289">
            <v>215331708207</v>
          </cell>
          <cell r="E3289" t="str">
            <v>BRACKET LH</v>
          </cell>
          <cell r="F3289">
            <v>42.31</v>
          </cell>
        </row>
        <row r="3290">
          <cell r="D3290">
            <v>215349200113</v>
          </cell>
          <cell r="E3290" t="str">
            <v>ASSY BRACKET(FOR SILENCER)</v>
          </cell>
          <cell r="F3290">
            <v>40.299999999999997</v>
          </cell>
        </row>
        <row r="3291">
          <cell r="D3291">
            <v>216327800106</v>
          </cell>
          <cell r="E3291" t="str">
            <v>BRACKET ASSY (ACCUMULATOR MTG)</v>
          </cell>
          <cell r="F3291">
            <v>632.65</v>
          </cell>
        </row>
        <row r="3292">
          <cell r="D3292">
            <v>216331200155</v>
          </cell>
          <cell r="E3292" t="str">
            <v>CROSS MEMBER ASSY</v>
          </cell>
          <cell r="F3292">
            <v>7758.12</v>
          </cell>
        </row>
        <row r="3293">
          <cell r="D3293">
            <v>216349208290</v>
          </cell>
          <cell r="E3293" t="str">
            <v>CLAMP</v>
          </cell>
          <cell r="F3293">
            <v>133.09</v>
          </cell>
        </row>
        <row r="3294">
          <cell r="D3294">
            <v>217943903304</v>
          </cell>
          <cell r="E3294" t="str">
            <v>BRACKET FOR REAR HOSE MTG.ON LH LM</v>
          </cell>
          <cell r="F3294">
            <v>19.2</v>
          </cell>
        </row>
        <row r="3295">
          <cell r="D3295">
            <v>219031700135</v>
          </cell>
          <cell r="E3295" t="str">
            <v>BRACKET ASSY</v>
          </cell>
          <cell r="F3295">
            <v>21.24</v>
          </cell>
        </row>
        <row r="3296">
          <cell r="D3296">
            <v>219031708207</v>
          </cell>
          <cell r="E3296" t="str">
            <v>BRACKET NOISE SHEILD MTG,RH</v>
          </cell>
          <cell r="F3296">
            <v>54.11</v>
          </cell>
        </row>
        <row r="3297">
          <cell r="D3297">
            <v>219031708208</v>
          </cell>
          <cell r="E3297" t="str">
            <v>BRACKET NOISE SHIELD MTG,LH</v>
          </cell>
          <cell r="F3297">
            <v>56.26</v>
          </cell>
        </row>
        <row r="3298">
          <cell r="D3298">
            <v>219031708209</v>
          </cell>
          <cell r="E3298" t="str">
            <v>BRACKET NOISE SHEILD MTG,RH</v>
          </cell>
          <cell r="F3298">
            <v>41.34</v>
          </cell>
        </row>
        <row r="3299">
          <cell r="D3299">
            <v>219031708210</v>
          </cell>
          <cell r="E3299" t="str">
            <v>BRACKET NOISE SHIELD MTG,LH</v>
          </cell>
          <cell r="F3299">
            <v>43.99</v>
          </cell>
        </row>
        <row r="3300">
          <cell r="D3300">
            <v>219046200120</v>
          </cell>
          <cell r="E3300" t="str">
            <v>BRACKET ASSY,RESERVOIR MTG</v>
          </cell>
          <cell r="F3300">
            <v>84.52</v>
          </cell>
        </row>
        <row r="3301">
          <cell r="D3301">
            <v>219049208201</v>
          </cell>
          <cell r="E3301" t="str">
            <v>BRACKET</v>
          </cell>
          <cell r="F3301">
            <v>4.45</v>
          </cell>
        </row>
        <row r="3302">
          <cell r="D3302">
            <v>219049208210</v>
          </cell>
          <cell r="E3302" t="str">
            <v>BRACKET</v>
          </cell>
          <cell r="F3302">
            <v>17.3</v>
          </cell>
        </row>
        <row r="3303">
          <cell r="D3303">
            <v>219089100105</v>
          </cell>
          <cell r="E3303" t="str">
            <v>ASSY.MUDGUARD SUPPORT RH</v>
          </cell>
          <cell r="F3303">
            <v>164.23</v>
          </cell>
        </row>
        <row r="3304">
          <cell r="D3304">
            <v>222870118263</v>
          </cell>
          <cell r="E3304" t="str">
            <v>SIDE GUARD</v>
          </cell>
          <cell r="F3304">
            <v>108.19</v>
          </cell>
        </row>
        <row r="3305">
          <cell r="D3305">
            <v>222870140131</v>
          </cell>
          <cell r="E3305" t="str">
            <v>LEG ASSY,SUPD</v>
          </cell>
          <cell r="F3305">
            <v>121.27</v>
          </cell>
        </row>
        <row r="3306">
          <cell r="D3306">
            <v>222870150154</v>
          </cell>
          <cell r="E3306" t="str">
            <v>SUPD ASSY,LH</v>
          </cell>
          <cell r="F3306">
            <v>1117.27</v>
          </cell>
        </row>
        <row r="3307">
          <cell r="D3307">
            <v>222970100224</v>
          </cell>
          <cell r="E3307" t="str">
            <v>SUPD ASSY,RH</v>
          </cell>
          <cell r="F3307">
            <v>1024</v>
          </cell>
        </row>
        <row r="3308">
          <cell r="D3308">
            <v>222970100225</v>
          </cell>
          <cell r="E3308" t="str">
            <v>SUPD ASSY,LH</v>
          </cell>
          <cell r="F3308">
            <v>797.56</v>
          </cell>
        </row>
        <row r="3309">
          <cell r="D3309">
            <v>222970100230</v>
          </cell>
          <cell r="E3309" t="str">
            <v>SUPD ASSY,RH</v>
          </cell>
          <cell r="F3309">
            <v>803.82</v>
          </cell>
        </row>
        <row r="3310">
          <cell r="D3310">
            <v>222970100231</v>
          </cell>
          <cell r="E3310" t="str">
            <v>SUPD ASSY,LH</v>
          </cell>
          <cell r="F3310">
            <v>577.34</v>
          </cell>
        </row>
        <row r="3311">
          <cell r="D3311">
            <v>222970130144</v>
          </cell>
          <cell r="E3311" t="str">
            <v>SUPD ASSY,LH</v>
          </cell>
          <cell r="F3311">
            <v>501.41</v>
          </cell>
        </row>
        <row r="3312">
          <cell r="D3312">
            <v>222970130163</v>
          </cell>
          <cell r="E3312" t="str">
            <v>SUPD ASSY,RH</v>
          </cell>
          <cell r="F3312">
            <v>714.87</v>
          </cell>
        </row>
        <row r="3313">
          <cell r="D3313">
            <v>222970140150</v>
          </cell>
          <cell r="E3313" t="str">
            <v>SUPD ASSY,LH</v>
          </cell>
          <cell r="F3313">
            <v>734.94</v>
          </cell>
        </row>
        <row r="3314">
          <cell r="D3314">
            <v>222970140152</v>
          </cell>
          <cell r="E3314" t="str">
            <v>SUPD ASSY,RH</v>
          </cell>
          <cell r="F3314">
            <v>834.73</v>
          </cell>
        </row>
        <row r="3315">
          <cell r="D3315">
            <v>222970140186</v>
          </cell>
          <cell r="E3315" t="str">
            <v>SUPD ASSY</v>
          </cell>
          <cell r="F3315">
            <v>875.93</v>
          </cell>
        </row>
        <row r="3316">
          <cell r="D3316">
            <v>222970140193</v>
          </cell>
          <cell r="E3316" t="str">
            <v>SUPD ASSY,LH</v>
          </cell>
          <cell r="F3316">
            <v>1133.8399999999999</v>
          </cell>
        </row>
        <row r="3317">
          <cell r="D3317">
            <v>222970140194</v>
          </cell>
          <cell r="E3317" t="str">
            <v>SUPD ASSY,RH</v>
          </cell>
          <cell r="F3317">
            <v>1133.8399999999999</v>
          </cell>
        </row>
        <row r="3318">
          <cell r="D3318">
            <v>222970238202</v>
          </cell>
          <cell r="E3318" t="str">
            <v>CAP,SUPD,FRONT</v>
          </cell>
          <cell r="F3318">
            <v>41.61</v>
          </cell>
        </row>
        <row r="3319">
          <cell r="D3319">
            <v>222970900134</v>
          </cell>
          <cell r="E3319" t="str">
            <v>SUPD ASSY</v>
          </cell>
          <cell r="F3319">
            <v>546.86</v>
          </cell>
        </row>
        <row r="3320">
          <cell r="D3320">
            <v>252513104202</v>
          </cell>
          <cell r="E3320" t="str">
            <v>COATED CLAMP</v>
          </cell>
          <cell r="F3320">
            <v>28.67</v>
          </cell>
        </row>
        <row r="3321">
          <cell r="D3321">
            <v>252550110286</v>
          </cell>
          <cell r="E3321" t="str">
            <v>ASSEMBLY BRACKET (VENT LINES SUPPORT)</v>
          </cell>
          <cell r="F3321">
            <v>6.37</v>
          </cell>
        </row>
        <row r="3322">
          <cell r="D3322">
            <v>252707143312</v>
          </cell>
          <cell r="E3322" t="str">
            <v>SUPPORT BRACKET (FOR HP LINES)</v>
          </cell>
          <cell r="F3322">
            <v>16.670000000000002</v>
          </cell>
        </row>
        <row r="3323">
          <cell r="D3323">
            <v>252709120266</v>
          </cell>
          <cell r="E3323" t="str">
            <v>ASSY SUPPORT FOR FUEL RETURN LINE</v>
          </cell>
          <cell r="F3323">
            <v>17.13</v>
          </cell>
        </row>
        <row r="3324">
          <cell r="D3324">
            <v>252709120282</v>
          </cell>
          <cell r="E3324" t="str">
            <v>CLAMP ASSY WITH SLEEVE</v>
          </cell>
          <cell r="F3324">
            <v>4.97</v>
          </cell>
        </row>
        <row r="3325">
          <cell r="D3325">
            <v>252714603325</v>
          </cell>
          <cell r="E3325" t="str">
            <v>SUPPORT BRACKET (TC TO IC PIPE) 497 Y1 L</v>
          </cell>
          <cell r="F3325">
            <v>31.79</v>
          </cell>
        </row>
        <row r="3326">
          <cell r="D3326">
            <v>252714603332</v>
          </cell>
          <cell r="E3326" t="str">
            <v>SUPPORT (FOR PIPE)ON CAB MTG BKT</v>
          </cell>
          <cell r="F3326">
            <v>24.97</v>
          </cell>
        </row>
        <row r="3327">
          <cell r="D3327">
            <v>252722100116</v>
          </cell>
          <cell r="E3327" t="str">
            <v>LIFTING HOOK ASSY</v>
          </cell>
          <cell r="F3327">
            <v>100.45</v>
          </cell>
        </row>
        <row r="3328">
          <cell r="D3328">
            <v>252723400122</v>
          </cell>
          <cell r="E3328" t="str">
            <v>ASSY BRACKET(ZF PSTG PUMP MTG)</v>
          </cell>
          <cell r="F3328">
            <v>357.45</v>
          </cell>
        </row>
        <row r="3329">
          <cell r="D3329">
            <v>252750008246</v>
          </cell>
          <cell r="E3329" t="str">
            <v>RADIATOR MOUNTING BRACKET</v>
          </cell>
          <cell r="F3329">
            <v>43.63</v>
          </cell>
        </row>
        <row r="3330">
          <cell r="D3330">
            <v>252750008262</v>
          </cell>
          <cell r="E3330" t="str">
            <v>BRACKET (FOR RADIATOR MOUNTING)</v>
          </cell>
          <cell r="F3330">
            <v>67.94</v>
          </cell>
        </row>
        <row r="3331">
          <cell r="D3331">
            <v>252750108271</v>
          </cell>
          <cell r="E3331" t="str">
            <v>SUPPORT BRACKET (FOR COOLANT PIPE)</v>
          </cell>
          <cell r="F3331">
            <v>8.86</v>
          </cell>
        </row>
        <row r="3332">
          <cell r="D3332">
            <v>253401170207</v>
          </cell>
          <cell r="E3332" t="str">
            <v>BRACKET,DIPSTICK TUBE CLAMPING</v>
          </cell>
          <cell r="F3332">
            <v>5.67</v>
          </cell>
        </row>
        <row r="3333">
          <cell r="D3333">
            <v>253409130398</v>
          </cell>
          <cell r="E3333" t="str">
            <v>ASSY.AIR INTAKE UNIT(ON CAB)</v>
          </cell>
          <cell r="F3333">
            <v>166.13</v>
          </cell>
        </row>
        <row r="3334">
          <cell r="D3334">
            <v>253409130399</v>
          </cell>
          <cell r="E3334" t="str">
            <v>ASSY. AIR FILTER MTG BKT</v>
          </cell>
          <cell r="F3334">
            <v>186.23</v>
          </cell>
        </row>
        <row r="3335">
          <cell r="D3335">
            <v>253409140366</v>
          </cell>
          <cell r="E3335" t="str">
            <v>BRACKET</v>
          </cell>
          <cell r="F3335">
            <v>45.1</v>
          </cell>
        </row>
        <row r="3336">
          <cell r="D3336">
            <v>253409140381</v>
          </cell>
          <cell r="E3336" t="str">
            <v>BRACKET</v>
          </cell>
          <cell r="F3336">
            <v>33.090000000000003</v>
          </cell>
        </row>
        <row r="3337">
          <cell r="D3337">
            <v>253414110158</v>
          </cell>
          <cell r="E3337" t="str">
            <v>ASSY. BRACKET(VACCUM MODULATOR)</v>
          </cell>
          <cell r="F3337">
            <v>42.25</v>
          </cell>
        </row>
        <row r="3338">
          <cell r="D3338">
            <v>253414113313</v>
          </cell>
          <cell r="E3338" t="str">
            <v>BRACKET (VACCUME MODULATOR)</v>
          </cell>
          <cell r="F3338">
            <v>16.48</v>
          </cell>
        </row>
        <row r="3339">
          <cell r="D3339">
            <v>253414113320</v>
          </cell>
          <cell r="E3339" t="str">
            <v>BRACKET-1 (VACUUM RESERVOIR)</v>
          </cell>
          <cell r="F3339">
            <v>15.61</v>
          </cell>
        </row>
        <row r="3340">
          <cell r="D3340">
            <v>253414113321</v>
          </cell>
          <cell r="E3340" t="str">
            <v>BRACKET-2 (VACUUM RESERVOIR)</v>
          </cell>
          <cell r="F3340">
            <v>10.09</v>
          </cell>
        </row>
        <row r="3341">
          <cell r="D3341">
            <v>253414113323</v>
          </cell>
          <cell r="E3341" t="str">
            <v>BRACKET ASSY,INTERMEDIATE PIPE SUPPORT</v>
          </cell>
          <cell r="F3341">
            <v>70.09</v>
          </cell>
        </row>
        <row r="3342">
          <cell r="D3342">
            <v>253415140146</v>
          </cell>
          <cell r="E3342" t="str">
            <v>ASSY.BRACKET (10S13 AC &amp; 125 ALT)</v>
          </cell>
          <cell r="F3342">
            <v>957.64</v>
          </cell>
        </row>
        <row r="3343">
          <cell r="D3343">
            <v>253418170327</v>
          </cell>
          <cell r="E3343" t="str">
            <v>BRACKET</v>
          </cell>
          <cell r="F3343">
            <v>8.7899999999999991</v>
          </cell>
        </row>
        <row r="3344">
          <cell r="D3344">
            <v>253450103345</v>
          </cell>
          <cell r="E3344" t="str">
            <v>BRACKET,RADIATOR FRAME SIDE MTG,LH</v>
          </cell>
          <cell r="F3344">
            <v>100.59</v>
          </cell>
        </row>
        <row r="3345">
          <cell r="D3345">
            <v>253450103347</v>
          </cell>
          <cell r="E3345" t="str">
            <v>BRACKET ASSY,RADIATOR MTG,BOTTOM-LH</v>
          </cell>
          <cell r="F3345">
            <v>129.47</v>
          </cell>
        </row>
        <row r="3346">
          <cell r="D3346">
            <v>253450103348</v>
          </cell>
          <cell r="E3346" t="str">
            <v>BRACKET ASSY,RADIATOR MTG,BOTTOM-RH</v>
          </cell>
          <cell r="F3346">
            <v>115.11</v>
          </cell>
        </row>
        <row r="3347">
          <cell r="D3347">
            <v>253450103349</v>
          </cell>
          <cell r="E3347" t="str">
            <v>BRACKET ASSY</v>
          </cell>
          <cell r="F3347">
            <v>7.04</v>
          </cell>
        </row>
        <row r="3348">
          <cell r="D3348">
            <v>253450104204</v>
          </cell>
          <cell r="E3348" t="str">
            <v>CLAMP ASSY</v>
          </cell>
          <cell r="F3348">
            <v>20.309999999999999</v>
          </cell>
        </row>
        <row r="3349">
          <cell r="D3349">
            <v>257388500120</v>
          </cell>
          <cell r="E3349" t="str">
            <v>ASSY.SUPPORT-LH (FOR ANTISAGGING BAR)</v>
          </cell>
          <cell r="F3349">
            <v>74.8</v>
          </cell>
        </row>
        <row r="3350">
          <cell r="D3350">
            <v>263246100110</v>
          </cell>
          <cell r="E3350" t="str">
            <v>ASSY STEERING COLUMN SUPPORT</v>
          </cell>
          <cell r="F3350">
            <v>238.09</v>
          </cell>
        </row>
        <row r="3351">
          <cell r="D3351">
            <v>263258604001</v>
          </cell>
          <cell r="E3351" t="str">
            <v>BRACKET,JACK MTG</v>
          </cell>
          <cell r="F3351">
            <v>6.59</v>
          </cell>
        </row>
        <row r="3352">
          <cell r="D3352">
            <v>264126400105</v>
          </cell>
          <cell r="E3352" t="str">
            <v>ASSY LEVER</v>
          </cell>
          <cell r="F3352">
            <v>48.35</v>
          </cell>
        </row>
        <row r="3353">
          <cell r="D3353">
            <v>264130100158</v>
          </cell>
          <cell r="E3353" t="str">
            <v>ASSY PEDAL LEVER ACCELERATOR (RHD)</v>
          </cell>
          <cell r="F3353">
            <v>52.79</v>
          </cell>
        </row>
        <row r="3354">
          <cell r="D3354">
            <v>264140300112</v>
          </cell>
          <cell r="E3354" t="str">
            <v>ASSY.HANDLE</v>
          </cell>
          <cell r="F3354">
            <v>146.66999999999999</v>
          </cell>
        </row>
        <row r="3355">
          <cell r="D3355">
            <v>264160138236</v>
          </cell>
          <cell r="E3355" t="str">
            <v>PLATE</v>
          </cell>
          <cell r="F3355">
            <v>81.239999999999995</v>
          </cell>
        </row>
        <row r="3356">
          <cell r="D3356">
            <v>264189110148</v>
          </cell>
          <cell r="E3356" t="str">
            <v>SUPPORT ASSY,MUDGUARD,BOTTOM-LH</v>
          </cell>
          <cell r="F3356">
            <v>1206.44</v>
          </cell>
        </row>
        <row r="3357">
          <cell r="D3357">
            <v>264229100163</v>
          </cell>
          <cell r="E3357" t="str">
            <v>CLUTCH PEDAL ASSY WITH BUSH</v>
          </cell>
          <cell r="F3357">
            <v>345.76</v>
          </cell>
        </row>
        <row r="3358">
          <cell r="D3358">
            <v>264229100165</v>
          </cell>
          <cell r="E3358" t="str">
            <v>CLUTCH PEDAL ASSY WITH MTG BKT</v>
          </cell>
          <cell r="F3358">
            <v>1192.45</v>
          </cell>
        </row>
        <row r="3359">
          <cell r="D3359">
            <v>264229500108</v>
          </cell>
          <cell r="E3359" t="str">
            <v>BRACKET ASSY,CLUTCH PEDAL &amp; SENSOR MTG</v>
          </cell>
          <cell r="F3359">
            <v>655.75</v>
          </cell>
        </row>
        <row r="3360">
          <cell r="D3360">
            <v>264249208209</v>
          </cell>
          <cell r="E3360" t="str">
            <v>BRACKET (EXHAUST MTG.)</v>
          </cell>
          <cell r="F3360">
            <v>32.32</v>
          </cell>
        </row>
        <row r="3361">
          <cell r="D3361">
            <v>264326400109</v>
          </cell>
          <cell r="E3361" t="str">
            <v>ASSY. BRACKET(PN.SHIFTING CYLINDER MTG,)</v>
          </cell>
          <cell r="F3361">
            <v>179.87</v>
          </cell>
        </row>
        <row r="3362">
          <cell r="D3362">
            <v>265140300131</v>
          </cell>
          <cell r="E3362" t="str">
            <v>ASSY FERRULE</v>
          </cell>
          <cell r="F3362">
            <v>11.82</v>
          </cell>
        </row>
        <row r="3363">
          <cell r="D3363">
            <v>265140309905</v>
          </cell>
          <cell r="E3363" t="str">
            <v>WIRE ROPE</v>
          </cell>
          <cell r="F3363">
            <v>37.46</v>
          </cell>
        </row>
        <row r="3364">
          <cell r="D3364">
            <v>265146209904</v>
          </cell>
          <cell r="E3364" t="str">
            <v>BALL GUIDE HALF RH</v>
          </cell>
          <cell r="F3364">
            <v>1.99</v>
          </cell>
        </row>
        <row r="3365">
          <cell r="D3365">
            <v>265229100141</v>
          </cell>
          <cell r="E3365" t="str">
            <v>CLUTCH PEDAL ASSY WITH RUBBER COVER</v>
          </cell>
          <cell r="F3365">
            <v>159.26</v>
          </cell>
        </row>
        <row r="3366">
          <cell r="D3366">
            <v>265229200102</v>
          </cell>
          <cell r="E3366" t="str">
            <v>BRAKE PEDAL ASSY WITH RUBBER COVER</v>
          </cell>
          <cell r="F3366">
            <v>158.41</v>
          </cell>
        </row>
        <row r="3367">
          <cell r="D3367">
            <v>265243100110</v>
          </cell>
          <cell r="E3367" t="str">
            <v>BRACKET ASSY LCRV MTG</v>
          </cell>
          <cell r="F3367">
            <v>77.28</v>
          </cell>
        </row>
        <row r="3368">
          <cell r="D3368">
            <v>265432128219</v>
          </cell>
          <cell r="E3368" t="str">
            <v>LOCK PLATE</v>
          </cell>
          <cell r="F3368">
            <v>8.2899999999999991</v>
          </cell>
        </row>
        <row r="3369">
          <cell r="D3369">
            <v>265728450103</v>
          </cell>
          <cell r="E3369" t="str">
            <v>1SSY.LEVER</v>
          </cell>
          <cell r="F3369">
            <v>99.83</v>
          </cell>
        </row>
        <row r="3370">
          <cell r="D3370">
            <v>267462100128</v>
          </cell>
          <cell r="E3370" t="str">
            <v>BRACKET ASSY,CROSS MEMBER TO FIREWALL</v>
          </cell>
          <cell r="F3370">
            <v>13.62</v>
          </cell>
        </row>
        <row r="3371">
          <cell r="D3371">
            <v>269730100109</v>
          </cell>
          <cell r="E3371" t="str">
            <v>ASSY ACC PEDAL ROD COMPLETE-RHD</v>
          </cell>
          <cell r="F3371">
            <v>100.01</v>
          </cell>
        </row>
        <row r="3372">
          <cell r="D3372">
            <v>269830100112</v>
          </cell>
          <cell r="E3372" t="str">
            <v>ASSY. BRACKET (ACCL. PEDAL MTG.)</v>
          </cell>
          <cell r="F3372">
            <v>43.93</v>
          </cell>
        </row>
        <row r="3373">
          <cell r="D3373">
            <v>269832100120</v>
          </cell>
          <cell r="E3373" t="str">
            <v>ASSY. TOP WISHBONE</v>
          </cell>
          <cell r="F3373">
            <v>405.94</v>
          </cell>
        </row>
        <row r="3374">
          <cell r="D3374">
            <v>269832105101</v>
          </cell>
          <cell r="E3374" t="str">
            <v>LOWER ARM RH (POWER STG.)</v>
          </cell>
          <cell r="F3374">
            <v>302.19</v>
          </cell>
        </row>
        <row r="3375">
          <cell r="D3375">
            <v>269832105102</v>
          </cell>
          <cell r="E3375" t="str">
            <v>LOWER ARM LH (POWER STG.)</v>
          </cell>
          <cell r="F3375">
            <v>302.19</v>
          </cell>
        </row>
        <row r="3376">
          <cell r="D3376">
            <v>269832107101</v>
          </cell>
          <cell r="E3376" t="str">
            <v>STOPPER</v>
          </cell>
          <cell r="F3376">
            <v>13.39</v>
          </cell>
        </row>
        <row r="3377">
          <cell r="D3377">
            <v>269932100153</v>
          </cell>
          <cell r="E3377" t="str">
            <v>ASSY.BRACKET LH (FRT.SUSP.LOWER W/B MT</v>
          </cell>
          <cell r="F3377">
            <v>149.63</v>
          </cell>
        </row>
        <row r="3378">
          <cell r="D3378">
            <v>269932100154</v>
          </cell>
          <cell r="E3378" t="str">
            <v>ASSY.BRACKET RH (LOWER W/B MOUNTING)</v>
          </cell>
          <cell r="F3378">
            <v>141.47999999999999</v>
          </cell>
        </row>
        <row r="3379">
          <cell r="D3379">
            <v>269932108304</v>
          </cell>
          <cell r="E3379" t="str">
            <v>SHIM.2.0 THK.</v>
          </cell>
          <cell r="F3379">
            <v>1.53</v>
          </cell>
        </row>
        <row r="3380">
          <cell r="D3380">
            <v>269933100122</v>
          </cell>
          <cell r="E3380" t="str">
            <v>ASSY.BRACKET LH (FRONT AXLE MTG)</v>
          </cell>
          <cell r="F3380">
            <v>80.58</v>
          </cell>
        </row>
        <row r="3381">
          <cell r="D3381">
            <v>269933100123</v>
          </cell>
          <cell r="E3381" t="str">
            <v>ASSY.BRACKET RH (FRONT AXLE MTG)</v>
          </cell>
          <cell r="F3381">
            <v>82.56</v>
          </cell>
        </row>
        <row r="3382">
          <cell r="D3382">
            <v>269974208252</v>
          </cell>
          <cell r="E3382" t="str">
            <v>SHIM DOVETAIL BOTTOM DOOR SIDE-TAILGATE</v>
          </cell>
          <cell r="F3382">
            <v>0.74</v>
          </cell>
        </row>
        <row r="3383">
          <cell r="D3383">
            <v>270454400115</v>
          </cell>
          <cell r="E3383" t="str">
            <v>ASSY. TUBE LIGHT - M/S.CHAPHEKAR ENNG.</v>
          </cell>
          <cell r="F3383">
            <v>410</v>
          </cell>
        </row>
        <row r="3384">
          <cell r="D3384">
            <v>270530100107</v>
          </cell>
          <cell r="E3384" t="str">
            <v>ASSY.PEDAL WITH COVER</v>
          </cell>
          <cell r="F3384">
            <v>50.03</v>
          </cell>
        </row>
        <row r="3385">
          <cell r="D3385">
            <v>270546200104</v>
          </cell>
          <cell r="E3385" t="str">
            <v>ASSY STG GEAR BOX MTG BRACKET-LHD (ZF)</v>
          </cell>
          <cell r="F3385">
            <v>852.23</v>
          </cell>
        </row>
        <row r="3386">
          <cell r="D3386">
            <v>270554200120</v>
          </cell>
          <cell r="E3386" t="str">
            <v>ASSY.MTG.BRACKET (IGNITER)</v>
          </cell>
          <cell r="F3386">
            <v>31.64</v>
          </cell>
        </row>
        <row r="3387">
          <cell r="D3387">
            <v>277631700101</v>
          </cell>
          <cell r="E3387" t="str">
            <v>ASSY. OUTRIGGER COMPLETE</v>
          </cell>
          <cell r="F3387">
            <v>1970.7</v>
          </cell>
        </row>
        <row r="3388">
          <cell r="D3388">
            <v>278609130397</v>
          </cell>
          <cell r="E3388" t="str">
            <v>ASSY.BRACKET(AIR INLET PIPE SUPPORT)</v>
          </cell>
          <cell r="F3388">
            <v>524.54</v>
          </cell>
        </row>
        <row r="3389">
          <cell r="D3389">
            <v>278901103301</v>
          </cell>
          <cell r="E3389" t="str">
            <v>STIFFNER (CRANKCASE TO DIFFERENTIAL COVE</v>
          </cell>
          <cell r="F3389">
            <v>61.53</v>
          </cell>
        </row>
        <row r="3390">
          <cell r="D3390">
            <v>278914103318</v>
          </cell>
          <cell r="E3390" t="str">
            <v>BRACKET,WIRING HARNESS MTG,FRONT</v>
          </cell>
          <cell r="F3390">
            <v>3.29</v>
          </cell>
        </row>
        <row r="3391">
          <cell r="D3391">
            <v>278920123312</v>
          </cell>
          <cell r="E3391" t="str">
            <v>BRACKET,COOLANT PIPE TO MANIFOLD</v>
          </cell>
          <cell r="F3391">
            <v>4.43</v>
          </cell>
        </row>
        <row r="3392">
          <cell r="D3392">
            <v>278920123317</v>
          </cell>
          <cell r="E3392" t="str">
            <v>BRACKET WIRING HARNESS MTG</v>
          </cell>
          <cell r="F3392">
            <v>7.9</v>
          </cell>
        </row>
        <row r="3393">
          <cell r="D3393">
            <v>281832400102</v>
          </cell>
          <cell r="E3393" t="str">
            <v>ASSLY TRAILING ARM WITH SLEEVE</v>
          </cell>
          <cell r="F3393">
            <v>425.24</v>
          </cell>
        </row>
        <row r="3394">
          <cell r="D3394">
            <v>282115608202</v>
          </cell>
          <cell r="E3394" t="str">
            <v>BRACKET FOR CIGAR COIL BUNDLE SUPPORT 49</v>
          </cell>
          <cell r="F3394">
            <v>33.880000000000003</v>
          </cell>
        </row>
        <row r="3395">
          <cell r="D3395">
            <v>282115608204</v>
          </cell>
          <cell r="E3395" t="str">
            <v>BRACKET-2 FOR W/H SUPPORT ON INTAKE MANI</v>
          </cell>
          <cell r="F3395">
            <v>3.43</v>
          </cell>
        </row>
        <row r="3396">
          <cell r="D3396">
            <v>282140300104</v>
          </cell>
          <cell r="E3396" t="str">
            <v>ASSY HANDLE.</v>
          </cell>
          <cell r="F3396">
            <v>252.62</v>
          </cell>
        </row>
        <row r="3397">
          <cell r="D3397">
            <v>282140300105</v>
          </cell>
          <cell r="E3397" t="str">
            <v>ASSY BRACKET (SPARE WHEEL MOUNTING)</v>
          </cell>
          <cell r="F3397">
            <v>247.11</v>
          </cell>
        </row>
        <row r="3398">
          <cell r="D3398">
            <v>282629103402</v>
          </cell>
          <cell r="E3398" t="str">
            <v>BUSH - CLUTCH CONTROL</v>
          </cell>
          <cell r="F3398">
            <v>6.19</v>
          </cell>
        </row>
        <row r="3399">
          <cell r="D3399">
            <v>284529100202</v>
          </cell>
          <cell r="E3399" t="str">
            <v>CLUTCH PEDAL ASSY</v>
          </cell>
          <cell r="F3399">
            <v>202.2</v>
          </cell>
        </row>
        <row r="3400">
          <cell r="D3400">
            <v>284529100204</v>
          </cell>
          <cell r="E3400" t="str">
            <v>BRACKET ASSY,PEDAL SUPPORT</v>
          </cell>
          <cell r="F3400">
            <v>266.81</v>
          </cell>
        </row>
        <row r="3401">
          <cell r="D3401">
            <v>284531300111</v>
          </cell>
          <cell r="E3401" t="str">
            <v>PLATE ASSY</v>
          </cell>
          <cell r="F3401">
            <v>30.43</v>
          </cell>
        </row>
        <row r="3402">
          <cell r="D3402">
            <v>284554200121</v>
          </cell>
          <cell r="E3402" t="str">
            <v>ASSY.BRACKET(TUBE LT.MTG)-AMBULANCE-WNG</v>
          </cell>
          <cell r="F3402">
            <v>158.30000000000001</v>
          </cell>
        </row>
        <row r="3403">
          <cell r="D3403">
            <v>284554209910</v>
          </cell>
          <cell r="E3403" t="str">
            <v>SIREN-FOR AMBULANCE</v>
          </cell>
          <cell r="F3403">
            <v>350</v>
          </cell>
        </row>
        <row r="3404">
          <cell r="D3404">
            <v>284555156304</v>
          </cell>
          <cell r="E3404" t="str">
            <v>DECAL</v>
          </cell>
          <cell r="F3404">
            <v>12500</v>
          </cell>
        </row>
        <row r="3405">
          <cell r="D3405">
            <v>284569500123</v>
          </cell>
          <cell r="E3405" t="str">
            <v>ASSY AL CHANNEL BEADING PROP1(CLS GOODS)</v>
          </cell>
          <cell r="F3405">
            <v>216.17</v>
          </cell>
        </row>
        <row r="3406">
          <cell r="D3406">
            <v>284586000114</v>
          </cell>
          <cell r="E3406" t="str">
            <v>ASSY FRONT 3 SEATER 3200WB AMBULANCE</v>
          </cell>
          <cell r="F3406">
            <v>2879</v>
          </cell>
        </row>
        <row r="3407">
          <cell r="D3407">
            <v>284586000115</v>
          </cell>
          <cell r="E3407" t="str">
            <v>ASSY REAR 2 SEATER 3200WB AMBULANCE</v>
          </cell>
          <cell r="F3407">
            <v>1895</v>
          </cell>
        </row>
        <row r="3408">
          <cell r="D3408">
            <v>284586000119</v>
          </cell>
          <cell r="E3408" t="str">
            <v>ASSY FRNT SINGLE SEATER 3488WB AMBULANCE</v>
          </cell>
          <cell r="F3408">
            <v>2100</v>
          </cell>
        </row>
        <row r="3409">
          <cell r="D3409">
            <v>284586000132</v>
          </cell>
          <cell r="E3409" t="str">
            <v>ASSY FRONT 4 SEATER 3488WB AMBULANCE</v>
          </cell>
          <cell r="F3409">
            <v>4900</v>
          </cell>
        </row>
        <row r="3410">
          <cell r="D3410">
            <v>284586000133</v>
          </cell>
          <cell r="E3410" t="str">
            <v>ASSY STRETCHER 3488WB AMBULANCE</v>
          </cell>
          <cell r="F3410">
            <v>13300</v>
          </cell>
        </row>
        <row r="3411">
          <cell r="D3411">
            <v>284586000135</v>
          </cell>
          <cell r="E3411" t="str">
            <v>ASSY AMBULANCE KIT 7+D 3488WB</v>
          </cell>
          <cell r="F3411">
            <v>17600</v>
          </cell>
        </row>
        <row r="3412">
          <cell r="D3412">
            <v>284586000190</v>
          </cell>
          <cell r="E3412" t="str">
            <v>STRETCHER ASSY</v>
          </cell>
          <cell r="F3412">
            <v>13300</v>
          </cell>
        </row>
        <row r="3413">
          <cell r="D3413">
            <v>284586000191</v>
          </cell>
          <cell r="E3413" t="str">
            <v>STRETCHER ASSY</v>
          </cell>
          <cell r="F3413">
            <v>13300</v>
          </cell>
        </row>
        <row r="3414">
          <cell r="D3414">
            <v>284586000193</v>
          </cell>
          <cell r="E3414" t="str">
            <v>OXYGEN CYL ASSY</v>
          </cell>
          <cell r="F3414">
            <v>538.41999999999996</v>
          </cell>
        </row>
        <row r="3415">
          <cell r="D3415">
            <v>284586000194</v>
          </cell>
          <cell r="E3415" t="str">
            <v>STORAGE BOX</v>
          </cell>
          <cell r="F3415">
            <v>1271.93</v>
          </cell>
        </row>
        <row r="3416">
          <cell r="D3416">
            <v>284586000195</v>
          </cell>
          <cell r="E3416" t="str">
            <v>2-SEATER AMBULANCE ASSY</v>
          </cell>
          <cell r="F3416">
            <v>2900</v>
          </cell>
        </row>
        <row r="3417">
          <cell r="D3417">
            <v>284586000196</v>
          </cell>
          <cell r="E3417" t="str">
            <v>3-SEATER AMBULANCE ASSY</v>
          </cell>
          <cell r="F3417">
            <v>5900</v>
          </cell>
        </row>
        <row r="3418">
          <cell r="D3418">
            <v>284586000197</v>
          </cell>
          <cell r="E3418" t="str">
            <v>4-SEATER AMBULANCE ASSY</v>
          </cell>
          <cell r="F3418">
            <v>4900</v>
          </cell>
        </row>
        <row r="3419">
          <cell r="D3419">
            <v>284586000198</v>
          </cell>
          <cell r="E3419" t="str">
            <v>FLOOR EXTENSION</v>
          </cell>
          <cell r="F3419">
            <v>11811.77</v>
          </cell>
        </row>
        <row r="3420">
          <cell r="D3420">
            <v>284586100102</v>
          </cell>
          <cell r="E3420" t="str">
            <v>STRETCHER ASSY</v>
          </cell>
          <cell r="F3420">
            <v>26732.51</v>
          </cell>
        </row>
        <row r="3421">
          <cell r="D3421">
            <v>284586100108</v>
          </cell>
          <cell r="E3421" t="str">
            <v>ACTUATING LEVER,STRETCHER ASSY</v>
          </cell>
          <cell r="F3421">
            <v>1126.45</v>
          </cell>
        </row>
        <row r="3422">
          <cell r="D3422">
            <v>284586100109</v>
          </cell>
          <cell r="E3422" t="str">
            <v>REVOLVING WHEEL,STRETCHER ASSY</v>
          </cell>
          <cell r="F3422">
            <v>1586</v>
          </cell>
        </row>
        <row r="3423">
          <cell r="D3423">
            <v>284586100117</v>
          </cell>
          <cell r="E3423" t="str">
            <v>STRAP BELT,STRETCHER ASSY</v>
          </cell>
          <cell r="F3423">
            <v>446.55</v>
          </cell>
        </row>
        <row r="3424">
          <cell r="D3424">
            <v>284586100123</v>
          </cell>
          <cell r="E3424" t="str">
            <v>RAIL,STRETCHER ASSY</v>
          </cell>
          <cell r="F3424">
            <v>5156</v>
          </cell>
        </row>
        <row r="3425">
          <cell r="D3425">
            <v>284586100125</v>
          </cell>
          <cell r="E3425" t="str">
            <v>LOCK,STRETCHER ASSY</v>
          </cell>
          <cell r="F3425">
            <v>656.25</v>
          </cell>
        </row>
        <row r="3426">
          <cell r="D3426">
            <v>284586108201</v>
          </cell>
          <cell r="E3426" t="str">
            <v>CURTAIN WIRE 2800 SWB</v>
          </cell>
          <cell r="F3426">
            <v>87</v>
          </cell>
        </row>
        <row r="3427">
          <cell r="D3427">
            <v>284586108205</v>
          </cell>
          <cell r="E3427" t="str">
            <v>CHANNEL</v>
          </cell>
          <cell r="F3427">
            <v>658.95</v>
          </cell>
        </row>
        <row r="3428">
          <cell r="D3428">
            <v>284586108230</v>
          </cell>
          <cell r="E3428" t="str">
            <v>LOCK PLATE,STRETCHER ASSY</v>
          </cell>
          <cell r="F3428">
            <v>275</v>
          </cell>
        </row>
        <row r="3429">
          <cell r="D3429">
            <v>284586600102</v>
          </cell>
          <cell r="E3429" t="str">
            <v>MEDICAL EQUIPMENT</v>
          </cell>
          <cell r="F3429">
            <v>1727.09</v>
          </cell>
        </row>
        <row r="3430">
          <cell r="D3430">
            <v>284586706301</v>
          </cell>
          <cell r="E3430" t="str">
            <v>ROOF PVC COATING FRONT LH</v>
          </cell>
          <cell r="F3430">
            <v>1617.89</v>
          </cell>
        </row>
        <row r="3431">
          <cell r="D3431">
            <v>284586706302</v>
          </cell>
          <cell r="E3431" t="str">
            <v>ROOF PVC COATING FRONT RH</v>
          </cell>
          <cell r="F3431">
            <v>1630.27</v>
          </cell>
        </row>
        <row r="3432">
          <cell r="D3432">
            <v>284586706303</v>
          </cell>
          <cell r="E3432" t="str">
            <v>ROOF PVC COATING FRONT CENTRE</v>
          </cell>
          <cell r="F3432">
            <v>2256.67</v>
          </cell>
        </row>
        <row r="3433">
          <cell r="D3433">
            <v>284586706308</v>
          </cell>
          <cell r="E3433" t="str">
            <v>ROOF BEADING</v>
          </cell>
          <cell r="F3433">
            <v>155.94</v>
          </cell>
        </row>
        <row r="3434">
          <cell r="D3434">
            <v>284586800109</v>
          </cell>
          <cell r="E3434" t="str">
            <v>FIRE EXTINGUISHER</v>
          </cell>
          <cell r="F3434">
            <v>919.15</v>
          </cell>
        </row>
        <row r="3435">
          <cell r="D3435">
            <v>284586800117</v>
          </cell>
          <cell r="E3435" t="str">
            <v>FLOOR EXTENSION</v>
          </cell>
          <cell r="F3435">
            <v>12426.1</v>
          </cell>
        </row>
        <row r="3436">
          <cell r="D3436">
            <v>284931707147</v>
          </cell>
          <cell r="E3436" t="str">
            <v>BEADING</v>
          </cell>
          <cell r="F3436">
            <v>14.24</v>
          </cell>
        </row>
        <row r="3437">
          <cell r="D3437">
            <v>288147608202</v>
          </cell>
          <cell r="E3437" t="str">
            <v>BRACKET FILTER</v>
          </cell>
          <cell r="F3437">
            <v>258.76</v>
          </cell>
        </row>
        <row r="3438">
          <cell r="D3438">
            <v>288149203302</v>
          </cell>
          <cell r="E3438" t="str">
            <v>CLAMP (CATCON MTG)</v>
          </cell>
          <cell r="F3438">
            <v>633.25</v>
          </cell>
        </row>
        <row r="3439">
          <cell r="D3439">
            <v>289430100102</v>
          </cell>
          <cell r="E3439" t="str">
            <v>ASSY. ACCL. PEDAL COMPLETE (RHD)</v>
          </cell>
          <cell r="F3439">
            <v>133.85</v>
          </cell>
        </row>
        <row r="3440">
          <cell r="D3440">
            <v>289642700128</v>
          </cell>
          <cell r="E3440" t="str">
            <v>ASSY. BRACKET (REAR CABLE MTG.)</v>
          </cell>
          <cell r="F3440">
            <v>31.2</v>
          </cell>
        </row>
        <row r="3441">
          <cell r="D3441">
            <v>289732108601</v>
          </cell>
          <cell r="E3441" t="str">
            <v>WHEEL STOPPER,RH,MTG.ON LWB</v>
          </cell>
          <cell r="F3441">
            <v>33.549999999999997</v>
          </cell>
        </row>
        <row r="3442">
          <cell r="D3442">
            <v>289732108602</v>
          </cell>
          <cell r="E3442" t="str">
            <v>WHEEL STOPPER,LH,MTG.ON LWB</v>
          </cell>
          <cell r="F3442">
            <v>33.549999999999997</v>
          </cell>
        </row>
        <row r="3443">
          <cell r="D3443">
            <v>289754100106</v>
          </cell>
          <cell r="E3443" t="str">
            <v>ASSY. BATTERY HOLDING CLAMP</v>
          </cell>
          <cell r="F3443">
            <v>20.68</v>
          </cell>
        </row>
        <row r="3444">
          <cell r="D3444">
            <v>289829100116</v>
          </cell>
          <cell r="E3444" t="str">
            <v>CLUTCH PEDAL ASSY WITH MTG BKT</v>
          </cell>
          <cell r="F3444">
            <v>638.66</v>
          </cell>
        </row>
        <row r="3445">
          <cell r="D3445">
            <v>289829100117</v>
          </cell>
          <cell r="E3445" t="str">
            <v>LEVER ASSY,CLUTCH PEDAL</v>
          </cell>
          <cell r="F3445">
            <v>191.21</v>
          </cell>
        </row>
        <row r="3446">
          <cell r="D3446">
            <v>289829200117</v>
          </cell>
          <cell r="E3446" t="str">
            <v>LEVER ASSY,BRAKE PEDAL</v>
          </cell>
          <cell r="F3446">
            <v>229.64</v>
          </cell>
        </row>
        <row r="3447">
          <cell r="D3447">
            <v>289829500101</v>
          </cell>
          <cell r="E3447" t="str">
            <v>BRACKET ASSY,CLUTCH CONTROL MTG</v>
          </cell>
          <cell r="F3447">
            <v>208.41</v>
          </cell>
        </row>
        <row r="3448">
          <cell r="D3448">
            <v>289829500102</v>
          </cell>
          <cell r="E3448" t="str">
            <v>BRACKET ASSY,BOOSTER &amp; BRAKE PEDAL MTG</v>
          </cell>
          <cell r="F3448">
            <v>217.33</v>
          </cell>
        </row>
        <row r="3449">
          <cell r="D3449">
            <v>289830100104</v>
          </cell>
          <cell r="E3449" t="str">
            <v>ACC PEDAL ASSY WITH BRACKET &amp; SPRING</v>
          </cell>
          <cell r="F3449">
            <v>125.37</v>
          </cell>
        </row>
        <row r="3450">
          <cell r="D3450">
            <v>289854600123</v>
          </cell>
          <cell r="E3450" t="str">
            <v>BRACKET ASSY,RELAY MTG</v>
          </cell>
          <cell r="F3450">
            <v>14.26</v>
          </cell>
        </row>
        <row r="3451">
          <cell r="D3451">
            <v>289861608213</v>
          </cell>
          <cell r="E3451" t="str">
            <v>REINFORCEMENT EXTENSION,LH</v>
          </cell>
          <cell r="F3451">
            <v>165.61</v>
          </cell>
        </row>
        <row r="3452">
          <cell r="D3452">
            <v>500642100154</v>
          </cell>
          <cell r="E3452" t="str">
            <v>ACTUATOR MOUNTING BRACKET RH (FABRICATED</v>
          </cell>
          <cell r="F3452">
            <v>715</v>
          </cell>
        </row>
        <row r="3453">
          <cell r="D3453">
            <v>550243800188</v>
          </cell>
          <cell r="E3453" t="str">
            <v>BRACKET ASSY,CONNECTOR MTG</v>
          </cell>
          <cell r="F3453">
            <v>32.869999999999997</v>
          </cell>
        </row>
        <row r="3454">
          <cell r="D3454">
            <v>550540300105</v>
          </cell>
          <cell r="E3454" t="str">
            <v>SPARE WHEEL CARRIER ASSY</v>
          </cell>
          <cell r="F3454">
            <v>1383.35</v>
          </cell>
        </row>
        <row r="3455">
          <cell r="D3455">
            <v>550549104224</v>
          </cell>
          <cell r="E3455" t="str">
            <v>CATCON MTG STRAP</v>
          </cell>
          <cell r="F3455">
            <v>111.74</v>
          </cell>
        </row>
        <row r="3456">
          <cell r="D3456">
            <v>550642108203</v>
          </cell>
          <cell r="E3456" t="str">
            <v>SPLASH SHIELD FOR FRONT INTEGRATED STUB-</v>
          </cell>
          <cell r="F3456">
            <v>67.38</v>
          </cell>
        </row>
        <row r="3457">
          <cell r="D3457">
            <v>550642108204</v>
          </cell>
          <cell r="E3457" t="str">
            <v>SPLASH SHIELD FOR FRONT INTEGRATED STUB-</v>
          </cell>
          <cell r="F3457">
            <v>67.38</v>
          </cell>
        </row>
        <row r="3458">
          <cell r="D3458">
            <v>550654600117</v>
          </cell>
          <cell r="E3458" t="str">
            <v>ASSY BRACKET(IP INLINE &amp; E-BOX CONNECTOR</v>
          </cell>
          <cell r="F3458">
            <v>52.29</v>
          </cell>
        </row>
        <row r="3459">
          <cell r="D3459">
            <v>550654603301</v>
          </cell>
          <cell r="E3459" t="str">
            <v>BRACKET ASSY,GEAR BOX MTG</v>
          </cell>
          <cell r="F3459">
            <v>4.24</v>
          </cell>
        </row>
        <row r="3460">
          <cell r="D3460">
            <v>550654603302</v>
          </cell>
          <cell r="E3460" t="str">
            <v>W/H SUPPORT BKT FOR CLUTCH ACTUATOR</v>
          </cell>
          <cell r="F3460">
            <v>3.35</v>
          </cell>
        </row>
        <row r="3461">
          <cell r="D3461">
            <v>550654603303</v>
          </cell>
          <cell r="E3461" t="str">
            <v>W/H SUPPORT BKT ON GB550</v>
          </cell>
          <cell r="F3461">
            <v>4.0999999999999996</v>
          </cell>
        </row>
        <row r="3462">
          <cell r="D3462">
            <v>550654603304</v>
          </cell>
          <cell r="E3462" t="str">
            <v>BRACKET,WIRING HARNESS MTG</v>
          </cell>
          <cell r="F3462">
            <v>4.47</v>
          </cell>
        </row>
        <row r="3463">
          <cell r="D3463">
            <v>550740308214</v>
          </cell>
          <cell r="E3463" t="str">
            <v>HOLDING BKT.</v>
          </cell>
          <cell r="F3463">
            <v>117.41</v>
          </cell>
        </row>
        <row r="3464">
          <cell r="D3464">
            <v>550742108203</v>
          </cell>
          <cell r="E3464" t="str">
            <v>SPLASH SHIELD FOR RB68B68 FRONT</v>
          </cell>
          <cell r="F3464">
            <v>56.12</v>
          </cell>
        </row>
        <row r="3465">
          <cell r="D3465">
            <v>550746600119</v>
          </cell>
          <cell r="E3465" t="str">
            <v>ASSLY.POWER STRG.RESERVOIR MTG.BKT.</v>
          </cell>
          <cell r="F3465">
            <v>133.76</v>
          </cell>
        </row>
        <row r="3466">
          <cell r="D3466">
            <v>550749103320</v>
          </cell>
          <cell r="E3466" t="str">
            <v>SUPPORT BRACKET FOR SILENCER ASSEMBLY</v>
          </cell>
          <cell r="F3466">
            <v>47.44</v>
          </cell>
        </row>
        <row r="3467">
          <cell r="D3467">
            <v>550749103336</v>
          </cell>
          <cell r="E3467" t="str">
            <v>MTG BRACKET FOR NOISE SHIELD</v>
          </cell>
          <cell r="F3467">
            <v>28.65</v>
          </cell>
        </row>
        <row r="3468">
          <cell r="D3468">
            <v>550754400194</v>
          </cell>
          <cell r="E3468" t="str">
            <v>ROOF LAMP ASSY</v>
          </cell>
          <cell r="F3468">
            <v>48.38</v>
          </cell>
        </row>
        <row r="3469">
          <cell r="D3469">
            <v>550840300107</v>
          </cell>
          <cell r="E3469" t="str">
            <v>BKT. STRUCTURE ASSY.- TABLE DRG.</v>
          </cell>
          <cell r="F3469">
            <v>726.71</v>
          </cell>
        </row>
        <row r="3470">
          <cell r="D3470">
            <v>550840300108</v>
          </cell>
          <cell r="E3470" t="str">
            <v>HOLDING BRACKET ASSY</v>
          </cell>
          <cell r="F3470">
            <v>238.61</v>
          </cell>
        </row>
        <row r="3471">
          <cell r="D3471">
            <v>551932300101</v>
          </cell>
          <cell r="E3471" t="str">
            <v>ASSY SHOCK ABSORBER BRKT LOWER-LH</v>
          </cell>
          <cell r="F3471">
            <v>1432.32</v>
          </cell>
        </row>
        <row r="3472">
          <cell r="D3472">
            <v>551932300102</v>
          </cell>
          <cell r="E3472" t="str">
            <v>ASSY SHOCK ABSORBER BRKT LOWER-RH</v>
          </cell>
          <cell r="F3472">
            <v>1432.32</v>
          </cell>
        </row>
        <row r="3473">
          <cell r="D3473">
            <v>551974308206</v>
          </cell>
          <cell r="E3473" t="str">
            <v>BUSH KEY COVER DOOR OUTER</v>
          </cell>
          <cell r="F3473">
            <v>22.51</v>
          </cell>
        </row>
        <row r="3474">
          <cell r="D3474">
            <v>551983400123</v>
          </cell>
          <cell r="E3474" t="str">
            <v>ASSY COVER FOR AC PIPE V BOTTOM</v>
          </cell>
          <cell r="F3474">
            <v>403.5</v>
          </cell>
        </row>
        <row r="3475">
          <cell r="D3475">
            <v>551984100111</v>
          </cell>
          <cell r="E3475" t="str">
            <v>ASSY BKT JERRY CAN MTG</v>
          </cell>
          <cell r="F3475">
            <v>1783</v>
          </cell>
        </row>
        <row r="3476">
          <cell r="D3476">
            <v>552429108602</v>
          </cell>
          <cell r="E3476" t="str">
            <v>TABLE SPACER</v>
          </cell>
          <cell r="F3476">
            <v>31.15</v>
          </cell>
        </row>
        <row r="3477">
          <cell r="D3477">
            <v>552729200107</v>
          </cell>
          <cell r="E3477" t="str">
            <v>BRAKE PEDAL ASSY WITH BUSH</v>
          </cell>
          <cell r="F3477">
            <v>339.02</v>
          </cell>
        </row>
        <row r="3478">
          <cell r="D3478">
            <v>552729500105</v>
          </cell>
          <cell r="E3478" t="str">
            <v>BRACKET ASSY,BRAKE PEDAL MTG</v>
          </cell>
          <cell r="F3478">
            <v>820.8</v>
          </cell>
        </row>
        <row r="3479">
          <cell r="D3479">
            <v>552730100101</v>
          </cell>
          <cell r="E3479" t="str">
            <v>ASSY. ACCELERATOR PEDAL</v>
          </cell>
          <cell r="F3479">
            <v>56.34</v>
          </cell>
        </row>
        <row r="3480">
          <cell r="D3480">
            <v>552730100102</v>
          </cell>
          <cell r="E3480" t="str">
            <v>ASSY.PEDAL PLATE WITH COVER</v>
          </cell>
          <cell r="F3480">
            <v>59.56</v>
          </cell>
        </row>
        <row r="3481">
          <cell r="D3481">
            <v>552742700119</v>
          </cell>
          <cell r="E3481" t="str">
            <v>BRACKET ASSY,PARKING BRAKE CABLE MTG</v>
          </cell>
          <cell r="F3481">
            <v>377.54</v>
          </cell>
        </row>
        <row r="3482">
          <cell r="D3482">
            <v>552742700122</v>
          </cell>
          <cell r="E3482" t="str">
            <v>BRACKET ASSY,PARKING BRAKE CABLE,REAR</v>
          </cell>
          <cell r="F3482">
            <v>103.82</v>
          </cell>
        </row>
        <row r="3483">
          <cell r="D3483">
            <v>552742700134</v>
          </cell>
          <cell r="E3483" t="str">
            <v>LEVER ASSY</v>
          </cell>
          <cell r="F3483">
            <v>219.4</v>
          </cell>
        </row>
        <row r="3484">
          <cell r="D3484">
            <v>552742700149</v>
          </cell>
          <cell r="E3484" t="str">
            <v>BRACKET ASSY,PARKING BRAKE CABLE,FRONT</v>
          </cell>
          <cell r="F3484">
            <v>62.1</v>
          </cell>
        </row>
        <row r="3485">
          <cell r="D3485">
            <v>552946600111</v>
          </cell>
          <cell r="E3485" t="str">
            <v>BRACKET ASSY,RESERVOIR MTG</v>
          </cell>
          <cell r="F3485">
            <v>44.18</v>
          </cell>
        </row>
        <row r="3486">
          <cell r="D3486">
            <v>553229100103</v>
          </cell>
          <cell r="E3486" t="str">
            <v>CLUTCH PEDAL ASSY WITH BUSH</v>
          </cell>
          <cell r="F3486">
            <v>137</v>
          </cell>
        </row>
        <row r="3487">
          <cell r="D3487">
            <v>553229200102</v>
          </cell>
          <cell r="E3487" t="str">
            <v>BRAKE PEDAL ASSY WITH BUSH</v>
          </cell>
          <cell r="F3487">
            <v>168.74</v>
          </cell>
        </row>
        <row r="3488">
          <cell r="D3488">
            <v>553229200117</v>
          </cell>
          <cell r="E3488" t="str">
            <v>BRAKE PEDAL ASSY WITH BUSH</v>
          </cell>
          <cell r="F3488">
            <v>224.94</v>
          </cell>
        </row>
        <row r="3489">
          <cell r="D3489">
            <v>553331700106</v>
          </cell>
          <cell r="E3489" t="str">
            <v>ASSEMBLY BOX OUTRIGGER 2</v>
          </cell>
          <cell r="F3489">
            <v>2218.59</v>
          </cell>
        </row>
        <row r="3490">
          <cell r="D3490">
            <v>553341308204</v>
          </cell>
          <cell r="E3490" t="str">
            <v>BRACKET,CENTER BRG MTG</v>
          </cell>
          <cell r="F3490">
            <v>425.83</v>
          </cell>
        </row>
        <row r="3491">
          <cell r="D3491">
            <v>553347608210</v>
          </cell>
          <cell r="E3491" t="str">
            <v>BRACKET FOR FUEL LINE CLAMPING</v>
          </cell>
          <cell r="F3491">
            <v>38.68</v>
          </cell>
        </row>
        <row r="3492">
          <cell r="D3492">
            <v>553349100104</v>
          </cell>
          <cell r="E3492" t="str">
            <v>ASSEMBLY BRACKET FOR CATCON MTG.</v>
          </cell>
          <cell r="F3492">
            <v>157.59</v>
          </cell>
        </row>
        <row r="3493">
          <cell r="D3493">
            <v>553349100105</v>
          </cell>
          <cell r="E3493" t="str">
            <v>ASSY. L-BRACKET</v>
          </cell>
          <cell r="F3493">
            <v>81.31</v>
          </cell>
        </row>
        <row r="3494">
          <cell r="D3494">
            <v>553349103311</v>
          </cell>
          <cell r="E3494" t="str">
            <v>BRACKET FOR DPS SENSOR MTG.</v>
          </cell>
          <cell r="F3494">
            <v>232.84</v>
          </cell>
        </row>
        <row r="3495">
          <cell r="D3495">
            <v>570601173303</v>
          </cell>
          <cell r="E3495" t="str">
            <v>OIL MIST SEPERATOR MOUNTING BRACKET</v>
          </cell>
          <cell r="F3495">
            <v>6.72</v>
          </cell>
        </row>
        <row r="3496">
          <cell r="D3496">
            <v>570601173315</v>
          </cell>
          <cell r="E3496" t="str">
            <v>OMS BRACKET FOR TRUCK</v>
          </cell>
          <cell r="F3496">
            <v>3.12</v>
          </cell>
        </row>
        <row r="3497">
          <cell r="D3497">
            <v>570650103367</v>
          </cell>
          <cell r="E3497" t="str">
            <v>BRACKET</v>
          </cell>
          <cell r="F3497">
            <v>197.06</v>
          </cell>
        </row>
        <row r="3498">
          <cell r="D3498">
            <v>572401100112</v>
          </cell>
          <cell r="E3498" t="str">
            <v>BRACKET ASSY,COMMON RAIL MTG</v>
          </cell>
          <cell r="F3498">
            <v>38.049999999999997</v>
          </cell>
        </row>
        <row r="3499">
          <cell r="D3499">
            <v>580927600107</v>
          </cell>
          <cell r="E3499" t="str">
            <v>BRACKET ASSY</v>
          </cell>
          <cell r="F3499">
            <v>21.62</v>
          </cell>
        </row>
        <row r="3500">
          <cell r="D3500">
            <v>580927608202</v>
          </cell>
          <cell r="E3500" t="str">
            <v>BKT - VENT LINE ASSY CLAMP MTG</v>
          </cell>
          <cell r="F3500">
            <v>3.09</v>
          </cell>
        </row>
        <row r="3501">
          <cell r="D3501">
            <v>580927608204</v>
          </cell>
          <cell r="E3501" t="str">
            <v>CLAMP - PARKING DRAIN LINE ASSY</v>
          </cell>
          <cell r="F3501">
            <v>1.35</v>
          </cell>
        </row>
        <row r="3502">
          <cell r="D3502">
            <v>580927808202</v>
          </cell>
          <cell r="E3502" t="str">
            <v>CABLE ANCHORING BRACKET</v>
          </cell>
          <cell r="F3502">
            <v>16.45</v>
          </cell>
        </row>
        <row r="3503">
          <cell r="D3503">
            <v>585864200108</v>
          </cell>
          <cell r="E3503" t="str">
            <v>ASSY_REINF_TOP_SNORKEL_MTG_RH</v>
          </cell>
          <cell r="F3503">
            <v>22.9</v>
          </cell>
        </row>
        <row r="3504">
          <cell r="D3504">
            <v>585864200114</v>
          </cell>
          <cell r="E3504" t="str">
            <v>BRACKET ASSY,STORAGE BIN MTG</v>
          </cell>
          <cell r="F3504">
            <v>5.5</v>
          </cell>
        </row>
        <row r="3505">
          <cell r="D3505">
            <v>585889103401</v>
          </cell>
          <cell r="E3505" t="str">
            <v>SERRATED BUSH</v>
          </cell>
          <cell r="F3505">
            <v>365.27</v>
          </cell>
        </row>
        <row r="3506">
          <cell r="D3506">
            <v>585889117177</v>
          </cell>
          <cell r="E3506" t="str">
            <v>STOPPER TORSION BAR</v>
          </cell>
          <cell r="F3506">
            <v>7.4</v>
          </cell>
        </row>
        <row r="3507">
          <cell r="D3507">
            <v>886354000109</v>
          </cell>
          <cell r="E3507" t="str">
            <v>BALILIGHT WITH SIREN( BLUE COLOUR)</v>
          </cell>
          <cell r="F3507">
            <v>17500</v>
          </cell>
        </row>
        <row r="3508">
          <cell r="D3508">
            <v>886354000110</v>
          </cell>
          <cell r="E3508" t="str">
            <v>FLASHER LIGHT RED</v>
          </cell>
          <cell r="F3508">
            <v>560</v>
          </cell>
        </row>
        <row r="3509">
          <cell r="D3509">
            <v>886354000193</v>
          </cell>
          <cell r="E3509" t="str">
            <v>FLASHER LIGHT RED</v>
          </cell>
          <cell r="F3509">
            <v>836</v>
          </cell>
        </row>
        <row r="3510">
          <cell r="D3510">
            <v>886354000194</v>
          </cell>
          <cell r="E3510" t="str">
            <v>FASHER LIGHT ORRANGE</v>
          </cell>
          <cell r="F3510">
            <v>836</v>
          </cell>
        </row>
        <row r="3511">
          <cell r="D3511">
            <v>886354000195</v>
          </cell>
          <cell r="E3511" t="str">
            <v>SPOT LIGHT WITHOUT FRP BOX</v>
          </cell>
          <cell r="F3511">
            <v>721</v>
          </cell>
        </row>
        <row r="3512">
          <cell r="D3512">
            <v>886354000598</v>
          </cell>
          <cell r="E3512" t="str">
            <v>LED TUBE LIGHT BS6</v>
          </cell>
          <cell r="F3512">
            <v>685</v>
          </cell>
        </row>
        <row r="3513">
          <cell r="D3513">
            <v>886354000599</v>
          </cell>
          <cell r="E3513" t="str">
            <v>230 V AC SOCKET BS6</v>
          </cell>
          <cell r="F3513">
            <v>830</v>
          </cell>
        </row>
        <row r="3514">
          <cell r="D3514">
            <v>886354000600</v>
          </cell>
          <cell r="E3514" t="str">
            <v>12 V DC CHARGING SOCKET BS6</v>
          </cell>
          <cell r="F3514">
            <v>550</v>
          </cell>
        </row>
        <row r="3515">
          <cell r="D3515">
            <v>886354000601</v>
          </cell>
          <cell r="E3515" t="str">
            <v>12 V DC FAN BS6</v>
          </cell>
          <cell r="F3515">
            <v>1150</v>
          </cell>
        </row>
        <row r="3516">
          <cell r="D3516">
            <v>886354000602</v>
          </cell>
          <cell r="E3516" t="str">
            <v>CAMERA WITH DVR BS6</v>
          </cell>
          <cell r="F3516">
            <v>18600</v>
          </cell>
        </row>
        <row r="3517">
          <cell r="D3517">
            <v>886354000603</v>
          </cell>
          <cell r="E3517" t="str">
            <v>DOOR SWITCH BS6</v>
          </cell>
          <cell r="F3517">
            <v>150</v>
          </cell>
        </row>
        <row r="3518">
          <cell r="D3518">
            <v>886354000604</v>
          </cell>
          <cell r="E3518" t="str">
            <v>ELECTRIC SWITCH BOARD 6 AMP BS6</v>
          </cell>
          <cell r="F3518">
            <v>850</v>
          </cell>
        </row>
        <row r="3519">
          <cell r="D3519">
            <v>886354000605</v>
          </cell>
          <cell r="E3519" t="str">
            <v>BAR LIGHT MTG BKT BS6</v>
          </cell>
          <cell r="F3519">
            <v>1095</v>
          </cell>
        </row>
        <row r="3520">
          <cell r="D3520">
            <v>886354000606</v>
          </cell>
          <cell r="E3520" t="str">
            <v>BATTERY &amp; INVERTER MTG PLATE BS6</v>
          </cell>
          <cell r="F3520">
            <v>850</v>
          </cell>
        </row>
        <row r="3521">
          <cell r="D3521">
            <v>886354000607</v>
          </cell>
          <cell r="E3521" t="str">
            <v>FOOT OPERATED SWITCH BS6</v>
          </cell>
          <cell r="F3521">
            <v>250</v>
          </cell>
        </row>
        <row r="3522">
          <cell r="D3522">
            <v>886354000608</v>
          </cell>
          <cell r="E3522" t="str">
            <v>EXTERNAL CHARGING CABLE BS6</v>
          </cell>
          <cell r="F3522">
            <v>380</v>
          </cell>
        </row>
        <row r="3523">
          <cell r="D3523">
            <v>886354000609</v>
          </cell>
          <cell r="E3523" t="str">
            <v>MCB 6 AMP WITH COVER ALL SEST BS6</v>
          </cell>
          <cell r="F3523">
            <v>4250</v>
          </cell>
        </row>
        <row r="3524">
          <cell r="D3524">
            <v>886354000610</v>
          </cell>
          <cell r="E3524" t="str">
            <v>DC FUSE BOX BS6</v>
          </cell>
          <cell r="F3524">
            <v>680</v>
          </cell>
        </row>
        <row r="3525">
          <cell r="D3525">
            <v>886354000611</v>
          </cell>
          <cell r="E3525" t="str">
            <v>AC FUSE BOX BS6</v>
          </cell>
          <cell r="F3525">
            <v>440</v>
          </cell>
        </row>
        <row r="3526">
          <cell r="D3526">
            <v>886354000612</v>
          </cell>
          <cell r="E3526" t="str">
            <v>FRP SHOLPHIN BAR LIGHT COVER BS6</v>
          </cell>
          <cell r="F3526">
            <v>4250</v>
          </cell>
        </row>
        <row r="3527">
          <cell r="D3527">
            <v>886354000613</v>
          </cell>
          <cell r="E3527" t="str">
            <v>PIPE COVER BS6</v>
          </cell>
          <cell r="F3527">
            <v>830</v>
          </cell>
        </row>
        <row r="3528">
          <cell r="D3528">
            <v>886354000658</v>
          </cell>
          <cell r="E3528" t="str">
            <v>OUTER SPOT LIGHT BS6</v>
          </cell>
          <cell r="F3528">
            <v>845</v>
          </cell>
        </row>
        <row r="3529">
          <cell r="D3529">
            <v>886354000659</v>
          </cell>
          <cell r="E3529" t="str">
            <v>BLINKER LIGHT BS6</v>
          </cell>
          <cell r="F3529">
            <v>655</v>
          </cell>
        </row>
        <row r="3530">
          <cell r="D3530">
            <v>886354000660</v>
          </cell>
          <cell r="E3530" t="str">
            <v>SPOT LIGHT BS6</v>
          </cell>
          <cell r="F3530">
            <v>980</v>
          </cell>
        </row>
        <row r="3531">
          <cell r="D3531">
            <v>886354000661</v>
          </cell>
          <cell r="E3531" t="str">
            <v>DOOR LIGHT BS6</v>
          </cell>
          <cell r="F3531">
            <v>285</v>
          </cell>
        </row>
        <row r="3532">
          <cell r="D3532">
            <v>886354000668</v>
          </cell>
          <cell r="E3532" t="str">
            <v>AMPLIFIER BS6</v>
          </cell>
          <cell r="F3532">
            <v>5520</v>
          </cell>
        </row>
        <row r="3533">
          <cell r="D3533">
            <v>886354000678</v>
          </cell>
          <cell r="E3533" t="str">
            <v>HEATER UNIT TABLE BS6-PH2</v>
          </cell>
          <cell r="F3533">
            <v>33900</v>
          </cell>
        </row>
        <row r="3534">
          <cell r="D3534">
            <v>886360000669</v>
          </cell>
          <cell r="E3534" t="str">
            <v>WHEEL BRACKET REAR BS6</v>
          </cell>
          <cell r="F3534">
            <v>180</v>
          </cell>
        </row>
        <row r="3535">
          <cell r="D3535">
            <v>886360000670</v>
          </cell>
          <cell r="E3535" t="str">
            <v>WHEEL BRACKET FRONT BS6</v>
          </cell>
          <cell r="F3535">
            <v>165</v>
          </cell>
        </row>
        <row r="3536">
          <cell r="D3536">
            <v>886360000671</v>
          </cell>
          <cell r="E3536" t="str">
            <v>SIDE GUARD BS6</v>
          </cell>
          <cell r="F3536">
            <v>335</v>
          </cell>
        </row>
        <row r="3537">
          <cell r="D3537">
            <v>886360000672</v>
          </cell>
          <cell r="E3537" t="str">
            <v>WINGER AIR VENT BS6</v>
          </cell>
          <cell r="F3537">
            <v>230</v>
          </cell>
        </row>
        <row r="3538">
          <cell r="D3538">
            <v>886360000673</v>
          </cell>
          <cell r="E3538" t="str">
            <v>OXYGEN CYLNDER BKT. BS6</v>
          </cell>
          <cell r="F3538">
            <v>856</v>
          </cell>
        </row>
        <row r="3539">
          <cell r="D3539">
            <v>886360000674</v>
          </cell>
          <cell r="E3539" t="str">
            <v>ATTANDANCE 4 SEATERSEAT BS6</v>
          </cell>
          <cell r="F3539">
            <v>5680</v>
          </cell>
        </row>
        <row r="3540">
          <cell r="D3540">
            <v>886360000675</v>
          </cell>
          <cell r="E3540" t="str">
            <v>MEDICAL CABINATE BS6</v>
          </cell>
          <cell r="F3540">
            <v>2145</v>
          </cell>
        </row>
        <row r="3541">
          <cell r="D3541">
            <v>886360000676</v>
          </cell>
          <cell r="E3541" t="str">
            <v>SPEAR WHEEL BOX BS6</v>
          </cell>
          <cell r="F3541">
            <v>1530</v>
          </cell>
        </row>
        <row r="3542">
          <cell r="D3542">
            <v>886360000677</v>
          </cell>
          <cell r="E3542" t="str">
            <v>SPEAR WHITE COVER BS6</v>
          </cell>
          <cell r="F3542">
            <v>546</v>
          </cell>
        </row>
        <row r="3543">
          <cell r="D3543">
            <v>886360000678</v>
          </cell>
          <cell r="E3543" t="str">
            <v>PARTATION WINDOW BS6</v>
          </cell>
          <cell r="F3543">
            <v>1380</v>
          </cell>
        </row>
        <row r="3544">
          <cell r="D3544">
            <v>886360000679</v>
          </cell>
          <cell r="E3544" t="str">
            <v>2KG FIRE EXTINGUISHER BS6</v>
          </cell>
          <cell r="F3544">
            <v>980</v>
          </cell>
        </row>
        <row r="3545">
          <cell r="D3545">
            <v>886360000680</v>
          </cell>
          <cell r="E3545" t="str">
            <v>2 KG.FIRE EXTINGUISHER BRACKET BS6</v>
          </cell>
          <cell r="F3545">
            <v>214</v>
          </cell>
        </row>
        <row r="3546">
          <cell r="D3546">
            <v>886360000681</v>
          </cell>
          <cell r="E3546" t="str">
            <v>PVC FLOORING BEIGERESPOSIVE BS6</v>
          </cell>
          <cell r="F3546">
            <v>375</v>
          </cell>
        </row>
        <row r="3547">
          <cell r="D3547">
            <v>886360000682</v>
          </cell>
          <cell r="E3547" t="str">
            <v>4PLYWOOD 8 X 4 BS6</v>
          </cell>
          <cell r="F3547">
            <v>875</v>
          </cell>
        </row>
        <row r="3548">
          <cell r="D3548">
            <v>886360000795</v>
          </cell>
          <cell r="E3548" t="str">
            <v>HEATER COVER WITH FRAME BS6</v>
          </cell>
          <cell r="F3548">
            <v>1870</v>
          </cell>
        </row>
        <row r="3549">
          <cell r="D3549">
            <v>886360000796</v>
          </cell>
          <cell r="E3549" t="str">
            <v>ATTENDANCE 4 SEATER SEAT BS6</v>
          </cell>
          <cell r="F3549">
            <v>5680</v>
          </cell>
        </row>
        <row r="3550">
          <cell r="D3550">
            <v>886360000797</v>
          </cell>
          <cell r="E3550" t="str">
            <v>SQUAD BENCH LAP BELT BS6</v>
          </cell>
          <cell r="F3550">
            <v>465</v>
          </cell>
        </row>
        <row r="3551">
          <cell r="D3551">
            <v>886360000798</v>
          </cell>
          <cell r="E3551" t="str">
            <v>HEATER SWITCH ON DASH BOARD BS6</v>
          </cell>
          <cell r="F3551">
            <v>120</v>
          </cell>
        </row>
        <row r="3552">
          <cell r="D3552">
            <v>886360000799</v>
          </cell>
          <cell r="E3552" t="str">
            <v>12 PLYWOOD 8 X 4 BS6</v>
          </cell>
          <cell r="F3552">
            <v>1670</v>
          </cell>
        </row>
        <row r="3553">
          <cell r="D3553">
            <v>886360001122</v>
          </cell>
          <cell r="E3553" t="str">
            <v>HAND WASH STAND BS6</v>
          </cell>
          <cell r="F3553">
            <v>180</v>
          </cell>
        </row>
        <row r="3554">
          <cell r="D3554">
            <v>886360001123</v>
          </cell>
          <cell r="E3554" t="str">
            <v>SQUAT BENCH 2 SEATER SEAT BS6</v>
          </cell>
          <cell r="F3554">
            <v>7500</v>
          </cell>
        </row>
        <row r="3555">
          <cell r="D3555">
            <v>886360001124</v>
          </cell>
          <cell r="E3555" t="str">
            <v>ARM REST BS6</v>
          </cell>
          <cell r="F3555">
            <v>780</v>
          </cell>
        </row>
        <row r="3556">
          <cell r="D3556">
            <v>886360001125</v>
          </cell>
          <cell r="E3556" t="str">
            <v>WATER PUMP BS6</v>
          </cell>
          <cell r="F3556">
            <v>1050</v>
          </cell>
        </row>
        <row r="3557">
          <cell r="D3557">
            <v>886360001126</v>
          </cell>
          <cell r="E3557" t="str">
            <v>SS WASTE WATER TANK BS6</v>
          </cell>
          <cell r="F3557">
            <v>3800</v>
          </cell>
        </row>
        <row r="3558">
          <cell r="D3558">
            <v>886360001127</v>
          </cell>
          <cell r="E3558" t="str">
            <v>SS FRESH WATER TANK BS6</v>
          </cell>
          <cell r="F3558">
            <v>3500</v>
          </cell>
        </row>
        <row r="3559">
          <cell r="D3559">
            <v>886360001128</v>
          </cell>
          <cell r="E3559" t="str">
            <v>SS EXAMINATION TABLE CABINET 2 BS6</v>
          </cell>
          <cell r="F3559">
            <v>45000</v>
          </cell>
        </row>
        <row r="3560">
          <cell r="D3560">
            <v>886360001129</v>
          </cell>
          <cell r="E3560" t="str">
            <v>MEDICAL CABINET BS6</v>
          </cell>
          <cell r="F3560">
            <v>33500</v>
          </cell>
        </row>
        <row r="3561">
          <cell r="D3561">
            <v>886360001130</v>
          </cell>
          <cell r="E3561" t="str">
            <v>SS HINGES BS6</v>
          </cell>
          <cell r="F3561">
            <v>200</v>
          </cell>
        </row>
        <row r="3562">
          <cell r="D3562">
            <v>886360001131</v>
          </cell>
          <cell r="E3562" t="str">
            <v>DRAIN HOLE LID BS6</v>
          </cell>
          <cell r="F3562">
            <v>360</v>
          </cell>
        </row>
        <row r="3563">
          <cell r="D3563">
            <v>886360001132</v>
          </cell>
          <cell r="E3563" t="str">
            <v>SPARE WHEEL COVER BS6</v>
          </cell>
          <cell r="F3563">
            <v>468</v>
          </cell>
        </row>
        <row r="3564">
          <cell r="D3564">
            <v>886360001133</v>
          </cell>
          <cell r="E3564" t="str">
            <v>SQUAT BENCH LAP BELT SET BS6</v>
          </cell>
          <cell r="F3564">
            <v>350</v>
          </cell>
        </row>
        <row r="3565">
          <cell r="D3565">
            <v>886360001134</v>
          </cell>
          <cell r="E3565" t="str">
            <v>FRP SQUAT BENCH 2 SEATER PANEL BS6</v>
          </cell>
          <cell r="F3565">
            <v>3825</v>
          </cell>
        </row>
        <row r="3566">
          <cell r="D3566">
            <v>886360001135</v>
          </cell>
          <cell r="E3566" t="str">
            <v>DRIVER SEAT BOTTOM SIDE COVER BS6</v>
          </cell>
          <cell r="F3566">
            <v>690</v>
          </cell>
        </row>
        <row r="3567">
          <cell r="D3567">
            <v>886360001136</v>
          </cell>
          <cell r="E3567" t="str">
            <v>FRP PA SYSTEM COVER BS6</v>
          </cell>
          <cell r="F3567">
            <v>475</v>
          </cell>
        </row>
        <row r="3568">
          <cell r="D3568">
            <v>886360001137</v>
          </cell>
          <cell r="E3568" t="str">
            <v>PARTITITON WINDOW BS6</v>
          </cell>
          <cell r="F3568">
            <v>1050</v>
          </cell>
        </row>
        <row r="3569">
          <cell r="D3569">
            <v>886360001138</v>
          </cell>
          <cell r="E3569" t="str">
            <v>FIRE EXTINGUISHER 1 KG BS6</v>
          </cell>
          <cell r="F3569">
            <v>950</v>
          </cell>
        </row>
        <row r="3570">
          <cell r="D3570">
            <v>886360001139</v>
          </cell>
          <cell r="E3570" t="str">
            <v>WATER VALVE BS6</v>
          </cell>
          <cell r="F3570">
            <v>650</v>
          </cell>
        </row>
        <row r="3571">
          <cell r="D3571">
            <v>886360001140</v>
          </cell>
          <cell r="E3571" t="str">
            <v>PVC ALLUMINIUM SHEET BS6</v>
          </cell>
          <cell r="F3571">
            <v>3500</v>
          </cell>
        </row>
        <row r="3572">
          <cell r="D3572">
            <v>886360001141</v>
          </cell>
          <cell r="E3572" t="str">
            <v>ALUMINIUM CHEQUER PLATE BS6</v>
          </cell>
          <cell r="F3572">
            <v>6850</v>
          </cell>
        </row>
        <row r="3573">
          <cell r="D3573">
            <v>886360001142</v>
          </cell>
          <cell r="E3573" t="str">
            <v>FIRE EXTINGUISHER MTG BKT BS6</v>
          </cell>
          <cell r="F3573">
            <v>350</v>
          </cell>
        </row>
        <row r="3574">
          <cell r="D3574">
            <v>886360001143</v>
          </cell>
          <cell r="E3574" t="str">
            <v>FIRST AID BOX BS6</v>
          </cell>
          <cell r="F3574">
            <v>500</v>
          </cell>
        </row>
        <row r="3575">
          <cell r="D3575">
            <v>886360001144</v>
          </cell>
          <cell r="E3575" t="str">
            <v>LN2 CONTAINER MTG BKT BS6</v>
          </cell>
          <cell r="F3575">
            <v>550</v>
          </cell>
        </row>
        <row r="3576">
          <cell r="D3576">
            <v>886360001145</v>
          </cell>
          <cell r="E3576" t="str">
            <v>ALUMINIUM BEEDING CHANNEL BS6</v>
          </cell>
          <cell r="F3576">
            <v>1526.5</v>
          </cell>
        </row>
        <row r="3577">
          <cell r="D3577">
            <v>886360001146</v>
          </cell>
          <cell r="E3577" t="str">
            <v>SLEEVE BS6</v>
          </cell>
          <cell r="F3577">
            <v>468</v>
          </cell>
        </row>
        <row r="3578">
          <cell r="D3578">
            <v>886360001178</v>
          </cell>
          <cell r="E3578" t="str">
            <v>NEAR TAIL DOOR GRAB HANDLE BS6</v>
          </cell>
          <cell r="F3578">
            <v>980</v>
          </cell>
        </row>
        <row r="3579">
          <cell r="D3579">
            <v>886360001179</v>
          </cell>
          <cell r="E3579" t="str">
            <v>ROOF TOP GRAB HANDLE BS6</v>
          </cell>
          <cell r="F3579">
            <v>1145</v>
          </cell>
        </row>
        <row r="3580">
          <cell r="D3580">
            <v>886360001180</v>
          </cell>
          <cell r="E3580" t="str">
            <v>WATER PUMP BS6</v>
          </cell>
          <cell r="F3580">
            <v>1050</v>
          </cell>
        </row>
        <row r="3581">
          <cell r="D3581">
            <v>886360001181</v>
          </cell>
          <cell r="E3581" t="str">
            <v>SS EXAMINATION TABLE CABINET 2 BS6</v>
          </cell>
          <cell r="F3581">
            <v>45000</v>
          </cell>
        </row>
        <row r="3582">
          <cell r="D3582">
            <v>886360001182</v>
          </cell>
          <cell r="E3582" t="str">
            <v>BELT BS6</v>
          </cell>
          <cell r="F3582">
            <v>260</v>
          </cell>
        </row>
        <row r="3583">
          <cell r="D3583">
            <v>886360001183</v>
          </cell>
          <cell r="E3583" t="str">
            <v>AC AIR IN LOURS BS6</v>
          </cell>
          <cell r="F3583">
            <v>350</v>
          </cell>
        </row>
        <row r="3584">
          <cell r="D3584">
            <v>886360001184</v>
          </cell>
          <cell r="E3584" t="str">
            <v>FRP TOP PANEL BS6</v>
          </cell>
          <cell r="F3584">
            <v>12747</v>
          </cell>
        </row>
        <row r="3585">
          <cell r="D3585">
            <v>886360001185</v>
          </cell>
          <cell r="E3585" t="str">
            <v>FRP LH SIDE PANEL BS6</v>
          </cell>
          <cell r="F3585">
            <v>12406</v>
          </cell>
        </row>
        <row r="3586">
          <cell r="D3586">
            <v>886360001186</v>
          </cell>
          <cell r="E3586" t="str">
            <v>FRP RH SIDE PANEL BS6</v>
          </cell>
          <cell r="F3586">
            <v>12406</v>
          </cell>
        </row>
        <row r="3587">
          <cell r="D3587">
            <v>886360001187</v>
          </cell>
          <cell r="E3587" t="str">
            <v>FRP RH WHEEL ARCH COVER BS6</v>
          </cell>
          <cell r="F3587">
            <v>1150</v>
          </cell>
        </row>
        <row r="3588">
          <cell r="D3588">
            <v>886360001188</v>
          </cell>
          <cell r="E3588" t="str">
            <v>FRP PILLAR RH BS6</v>
          </cell>
          <cell r="F3588">
            <v>1580</v>
          </cell>
        </row>
        <row r="3589">
          <cell r="D3589">
            <v>886360001189</v>
          </cell>
          <cell r="E3589" t="str">
            <v>FRP PILLAR LH BS6</v>
          </cell>
          <cell r="F3589">
            <v>1580</v>
          </cell>
        </row>
        <row r="3590">
          <cell r="D3590">
            <v>886360001190</v>
          </cell>
          <cell r="E3590" t="str">
            <v>FRP DRIVER CABIN AC PANEL BS6</v>
          </cell>
          <cell r="F3590">
            <v>7560</v>
          </cell>
        </row>
        <row r="3591">
          <cell r="D3591">
            <v>886360001191</v>
          </cell>
          <cell r="E3591" t="str">
            <v>FRP AC COVER PANEL BS6</v>
          </cell>
          <cell r="F3591">
            <v>4680</v>
          </cell>
        </row>
        <row r="3592">
          <cell r="D3592">
            <v>886360001192</v>
          </cell>
          <cell r="E3592" t="str">
            <v>FRP PARTITION PANEL DRIVER SIDE BS6</v>
          </cell>
          <cell r="F3592">
            <v>3890</v>
          </cell>
        </row>
        <row r="3593">
          <cell r="D3593">
            <v>886360001193</v>
          </cell>
          <cell r="E3593" t="str">
            <v>FRP PARTITION PANEL PTIENT SIDE BS6</v>
          </cell>
          <cell r="F3593">
            <v>5860</v>
          </cell>
        </row>
        <row r="3594">
          <cell r="D3594">
            <v>886360001194</v>
          </cell>
          <cell r="E3594" t="str">
            <v>FRP CUT OUT PANELS BS6</v>
          </cell>
          <cell r="F3594">
            <v>1560</v>
          </cell>
        </row>
        <row r="3595">
          <cell r="D3595">
            <v>886360001195</v>
          </cell>
          <cell r="E3595" t="str">
            <v>DRIVER CABIN FRP ROOF PANEL BS6</v>
          </cell>
          <cell r="F3595">
            <v>5260</v>
          </cell>
        </row>
        <row r="3596">
          <cell r="D3596">
            <v>886360001229</v>
          </cell>
          <cell r="E3596" t="str">
            <v>FRP PA SYSTEM COVER BS6-PH2</v>
          </cell>
          <cell r="F3596">
            <v>394</v>
          </cell>
        </row>
        <row r="3597">
          <cell r="D3597">
            <v>886381000194</v>
          </cell>
          <cell r="E3597" t="str">
            <v>DIGITAL CLOCK BS6</v>
          </cell>
          <cell r="F3597">
            <v>850</v>
          </cell>
        </row>
        <row r="3598">
          <cell r="D3598">
            <v>886383000571</v>
          </cell>
          <cell r="E3598" t="str">
            <v>UNION 5/8 BS6-PH2</v>
          </cell>
          <cell r="F3598">
            <v>412.6</v>
          </cell>
        </row>
        <row r="3599">
          <cell r="D3599">
            <v>886383000574</v>
          </cell>
          <cell r="E3599" t="str">
            <v>SWITCH ON-OFF WITH ILLUMINATION BS6-PH2</v>
          </cell>
          <cell r="F3599">
            <v>281.45</v>
          </cell>
        </row>
        <row r="3600">
          <cell r="D3600">
            <v>886386000002</v>
          </cell>
          <cell r="E3600" t="str">
            <v>ASSY STRETCHER 3488 WB. W/ BASE FRAME BS</v>
          </cell>
          <cell r="F3600">
            <v>27807</v>
          </cell>
        </row>
        <row r="3601">
          <cell r="D3601">
            <v>886386000003</v>
          </cell>
          <cell r="E3601" t="str">
            <v>ASSEMBLY STRETCHER W/O BASE FRAME BS6</v>
          </cell>
          <cell r="F3601">
            <v>22007</v>
          </cell>
        </row>
        <row r="3602">
          <cell r="D3602">
            <v>886386000004</v>
          </cell>
          <cell r="E3602" t="str">
            <v>3488 WB AMBULANCE BASE FRAME ASSY BS6</v>
          </cell>
          <cell r="F3602">
            <v>5849</v>
          </cell>
        </row>
        <row r="3603">
          <cell r="D3603">
            <v>886386000006</v>
          </cell>
          <cell r="E3603" t="str">
            <v>HEAD REST ASSY BS6</v>
          </cell>
          <cell r="F3603">
            <v>1135</v>
          </cell>
        </row>
        <row r="3604">
          <cell r="D3604">
            <v>886386000007</v>
          </cell>
          <cell r="E3604" t="str">
            <v>FOOT REST ASSY BS6</v>
          </cell>
          <cell r="F3604">
            <v>1596</v>
          </cell>
        </row>
        <row r="3605">
          <cell r="D3605">
            <v>886386000008</v>
          </cell>
          <cell r="E3605" t="str">
            <v>MAIN FRAME WELDING ASSY BS6</v>
          </cell>
          <cell r="F3605">
            <v>6399</v>
          </cell>
        </row>
        <row r="3606">
          <cell r="D3606">
            <v>886386000009</v>
          </cell>
          <cell r="E3606" t="str">
            <v>LEG FOLDING ASSY-1 BS6</v>
          </cell>
          <cell r="F3606">
            <v>1130</v>
          </cell>
        </row>
        <row r="3607">
          <cell r="D3607">
            <v>886386000010</v>
          </cell>
          <cell r="E3607" t="str">
            <v>LEG FOLDING ASSY-2 BS6</v>
          </cell>
          <cell r="F3607">
            <v>689</v>
          </cell>
        </row>
        <row r="3608">
          <cell r="D3608">
            <v>886386000011</v>
          </cell>
          <cell r="E3608" t="str">
            <v>MTG BRACKET ASSY-1 BS6</v>
          </cell>
          <cell r="F3608">
            <v>135</v>
          </cell>
        </row>
        <row r="3609">
          <cell r="D3609">
            <v>886386000012</v>
          </cell>
          <cell r="E3609" t="str">
            <v>MTG BRACKET ASSY LH/RH BS6</v>
          </cell>
          <cell r="F3609">
            <v>189</v>
          </cell>
        </row>
        <row r="3610">
          <cell r="D3610">
            <v>886386000013</v>
          </cell>
          <cell r="E3610" t="str">
            <v>LEG FOLDING ASSY LH/RH BS6</v>
          </cell>
          <cell r="F3610">
            <v>943</v>
          </cell>
        </row>
        <row r="3611">
          <cell r="D3611">
            <v>886386000014</v>
          </cell>
          <cell r="E3611" t="str">
            <v>LEG FOLDING ASSY-4 BS6</v>
          </cell>
          <cell r="F3611">
            <v>341</v>
          </cell>
        </row>
        <row r="3612">
          <cell r="D3612">
            <v>886386000015</v>
          </cell>
          <cell r="E3612" t="str">
            <v>FRONT LEG ASSY BS6</v>
          </cell>
          <cell r="F3612">
            <v>917</v>
          </cell>
        </row>
        <row r="3613">
          <cell r="D3613">
            <v>886386000016</v>
          </cell>
          <cell r="E3613" t="str">
            <v>REAR LEG ASSY BS6</v>
          </cell>
          <cell r="F3613">
            <v>917</v>
          </cell>
        </row>
        <row r="3614">
          <cell r="D3614">
            <v>886386000017</v>
          </cell>
          <cell r="E3614" t="str">
            <v>LIVER ASSY BS6</v>
          </cell>
          <cell r="F3614">
            <v>132</v>
          </cell>
        </row>
        <row r="3615">
          <cell r="D3615">
            <v>886386000018</v>
          </cell>
          <cell r="E3615" t="str">
            <v>GUIDE WHEEL LOCKING ROD ASSY BS6</v>
          </cell>
          <cell r="F3615">
            <v>334</v>
          </cell>
        </row>
        <row r="3616">
          <cell r="D3616">
            <v>886386000019</v>
          </cell>
          <cell r="E3616" t="str">
            <v>HEAD REST LOCKING CYLINDER ASSY BS6</v>
          </cell>
          <cell r="F3616">
            <v>222</v>
          </cell>
        </row>
        <row r="3617">
          <cell r="D3617">
            <v>886386000020</v>
          </cell>
          <cell r="E3617" t="str">
            <v>CONNECTING ROD BS6</v>
          </cell>
          <cell r="F3617">
            <v>283</v>
          </cell>
        </row>
        <row r="3618">
          <cell r="D3618">
            <v>886386000021</v>
          </cell>
          <cell r="E3618" t="str">
            <v>BRACKET BS6</v>
          </cell>
          <cell r="F3618">
            <v>59</v>
          </cell>
        </row>
        <row r="3619">
          <cell r="D3619">
            <v>886386000022</v>
          </cell>
          <cell r="E3619" t="str">
            <v>BRACKET BS6</v>
          </cell>
          <cell r="F3619">
            <v>36</v>
          </cell>
        </row>
        <row r="3620">
          <cell r="D3620">
            <v>886386000023</v>
          </cell>
          <cell r="E3620" t="str">
            <v>FRONT LOCK ASSY BS6</v>
          </cell>
          <cell r="F3620">
            <v>481</v>
          </cell>
        </row>
        <row r="3621">
          <cell r="D3621">
            <v>886386000024</v>
          </cell>
          <cell r="E3621" t="str">
            <v>WHEEL BRACKET ASSY -1 BS6</v>
          </cell>
          <cell r="F3621">
            <v>218</v>
          </cell>
        </row>
        <row r="3622">
          <cell r="D3622">
            <v>886386000025</v>
          </cell>
          <cell r="E3622" t="str">
            <v>WHEEL BRACKET ASSY -2 BS6</v>
          </cell>
          <cell r="F3622">
            <v>208</v>
          </cell>
        </row>
        <row r="3623">
          <cell r="D3623">
            <v>886386000026</v>
          </cell>
          <cell r="E3623" t="str">
            <v>GUIDE WHEEL BRACKET BS6</v>
          </cell>
          <cell r="F3623">
            <v>75</v>
          </cell>
        </row>
        <row r="3624">
          <cell r="D3624">
            <v>886386000027</v>
          </cell>
          <cell r="E3624" t="str">
            <v>FOOT REST ADJUSTING BAR ASSY BS6</v>
          </cell>
          <cell r="F3624">
            <v>199</v>
          </cell>
        </row>
        <row r="3625">
          <cell r="D3625">
            <v>886386000028</v>
          </cell>
          <cell r="E3625" t="str">
            <v>SPRING LH BS6</v>
          </cell>
          <cell r="F3625">
            <v>38.5</v>
          </cell>
        </row>
        <row r="3626">
          <cell r="D3626">
            <v>886386000029</v>
          </cell>
          <cell r="E3626" t="str">
            <v>SPRING RH BS6</v>
          </cell>
          <cell r="F3626">
            <v>38.5</v>
          </cell>
        </row>
        <row r="3627">
          <cell r="D3627">
            <v>886386000030</v>
          </cell>
          <cell r="E3627" t="str">
            <v>SIDE HANDLE BS6</v>
          </cell>
          <cell r="F3627">
            <v>324</v>
          </cell>
        </row>
        <row r="3628">
          <cell r="D3628">
            <v>886386000031</v>
          </cell>
          <cell r="E3628" t="str">
            <v>SPRING LOADED PLUNGER BS6</v>
          </cell>
          <cell r="F3628">
            <v>145</v>
          </cell>
        </row>
        <row r="3629">
          <cell r="D3629">
            <v>886386000032</v>
          </cell>
          <cell r="E3629" t="str">
            <v>SALINE STAND ASSY BS6</v>
          </cell>
          <cell r="F3629">
            <v>181</v>
          </cell>
        </row>
        <row r="3630">
          <cell r="D3630">
            <v>886386000033</v>
          </cell>
          <cell r="E3630" t="str">
            <v>FIXED WHEEL (5 INCH) BS6</v>
          </cell>
          <cell r="F3630">
            <v>258</v>
          </cell>
        </row>
        <row r="3631">
          <cell r="D3631">
            <v>886386000034</v>
          </cell>
          <cell r="E3631" t="str">
            <v>FIXED WHEEL (3 INCH) BS6</v>
          </cell>
          <cell r="F3631">
            <v>48.5</v>
          </cell>
        </row>
        <row r="3632">
          <cell r="D3632">
            <v>886386000035</v>
          </cell>
          <cell r="E3632" t="str">
            <v>FIXED NON MOVABLE WHEEL (5 INCH) BS6</v>
          </cell>
          <cell r="F3632">
            <v>415.7</v>
          </cell>
        </row>
        <row r="3633">
          <cell r="D3633">
            <v>886386000036</v>
          </cell>
          <cell r="E3633" t="str">
            <v>MOVABLE WHEEL BS6</v>
          </cell>
          <cell r="F3633">
            <v>455.3</v>
          </cell>
        </row>
        <row r="3634">
          <cell r="D3634">
            <v>886386000037</v>
          </cell>
          <cell r="E3634" t="str">
            <v>MATTRESS BS6</v>
          </cell>
          <cell r="F3634">
            <v>1906</v>
          </cell>
        </row>
        <row r="3635">
          <cell r="D3635">
            <v>886386000038</v>
          </cell>
          <cell r="E3635" t="str">
            <v>PULLING ROD BS6</v>
          </cell>
          <cell r="F3635">
            <v>330</v>
          </cell>
        </row>
        <row r="3636">
          <cell r="D3636">
            <v>886386000039</v>
          </cell>
          <cell r="E3636" t="str">
            <v>LOCKING PLATE BS6</v>
          </cell>
          <cell r="F3636">
            <v>211</v>
          </cell>
        </row>
        <row r="3637">
          <cell r="D3637">
            <v>886386000040</v>
          </cell>
          <cell r="E3637" t="str">
            <v>COVER PANEL BS6</v>
          </cell>
          <cell r="F3637">
            <v>228</v>
          </cell>
        </row>
        <row r="3638">
          <cell r="D3638">
            <v>886386000041</v>
          </cell>
          <cell r="E3638" t="str">
            <v>BRACKET ASSY BS6</v>
          </cell>
          <cell r="F3638">
            <v>239</v>
          </cell>
        </row>
        <row r="3639">
          <cell r="D3639">
            <v>886386000042</v>
          </cell>
          <cell r="E3639" t="str">
            <v>BRACKET BS6</v>
          </cell>
          <cell r="F3639">
            <v>151</v>
          </cell>
        </row>
        <row r="3640">
          <cell r="D3640">
            <v>886386000044</v>
          </cell>
          <cell r="E3640" t="str">
            <v>BUSH BS6</v>
          </cell>
          <cell r="F3640">
            <v>48.5</v>
          </cell>
        </row>
        <row r="3641">
          <cell r="D3641">
            <v>886386000045</v>
          </cell>
          <cell r="E3641" t="str">
            <v>PVC REAR LEG SUPPORT RED BS6</v>
          </cell>
          <cell r="F3641">
            <v>310</v>
          </cell>
        </row>
        <row r="3642">
          <cell r="D3642">
            <v>886386000046</v>
          </cell>
          <cell r="E3642" t="str">
            <v>PVC FRONT LEG SUPPORT GREEN BS6</v>
          </cell>
          <cell r="F3642">
            <v>310</v>
          </cell>
        </row>
        <row r="3643">
          <cell r="D3643">
            <v>886386000047</v>
          </cell>
          <cell r="E3643" t="str">
            <v>WIRING HARNESS BS6</v>
          </cell>
          <cell r="F3643">
            <v>3780.23</v>
          </cell>
        </row>
        <row r="3644">
          <cell r="D3644">
            <v>886391000057</v>
          </cell>
          <cell r="E3644" t="str">
            <v>DOCTOR SEAT BS6</v>
          </cell>
          <cell r="F3644">
            <v>3500</v>
          </cell>
        </row>
        <row r="3645">
          <cell r="D3645">
            <v>222970130122</v>
          </cell>
          <cell r="E3645" t="str">
            <v>SUPD ASSY,LH</v>
          </cell>
          <cell r="F3645">
            <v>3325.37</v>
          </cell>
        </row>
        <row r="3646">
          <cell r="D3646">
            <v>222970130123</v>
          </cell>
          <cell r="E3646" t="str">
            <v>SUPD ASSY,RH</v>
          </cell>
          <cell r="F3646">
            <v>3803.13</v>
          </cell>
        </row>
        <row r="3647">
          <cell r="D3647">
            <v>550840308001</v>
          </cell>
          <cell r="E3647" t="str">
            <v>SCREW HOOK</v>
          </cell>
          <cell r="F3647">
            <v>9.02</v>
          </cell>
        </row>
        <row r="3648">
          <cell r="D3648">
            <v>257340305101</v>
          </cell>
          <cell r="E3648" t="str">
            <v>EYE BOLT</v>
          </cell>
          <cell r="F3648">
            <v>14.56</v>
          </cell>
        </row>
        <row r="3649">
          <cell r="D3649">
            <v>222970238204</v>
          </cell>
          <cell r="E3649" t="str">
            <v>CAP,SUPD,REAR</v>
          </cell>
          <cell r="F3649">
            <v>10.74</v>
          </cell>
        </row>
        <row r="3650">
          <cell r="D3650">
            <v>221570108271</v>
          </cell>
          <cell r="E3650" t="str">
            <v>SUPD LEG,TOP</v>
          </cell>
          <cell r="F3650">
            <v>36.32</v>
          </cell>
        </row>
        <row r="3651">
          <cell r="D3651">
            <v>550840307103</v>
          </cell>
          <cell r="E3651" t="str">
            <v>RATCHET ARM</v>
          </cell>
          <cell r="F3651">
            <v>15.05</v>
          </cell>
        </row>
        <row r="3652">
          <cell r="D3652">
            <v>550840308001</v>
          </cell>
          <cell r="E3652" t="str">
            <v>SCREW HOOK</v>
          </cell>
          <cell r="F3652">
            <v>9.02</v>
          </cell>
        </row>
        <row r="3653">
          <cell r="D3653">
            <v>287032105105</v>
          </cell>
          <cell r="E3653" t="str">
            <v>UPPER WISHBONE - FRONT SUSPENSION</v>
          </cell>
          <cell r="F3653">
            <v>1074.7</v>
          </cell>
        </row>
        <row r="3654">
          <cell r="D3654">
            <v>550754400202</v>
          </cell>
          <cell r="E3654" t="str">
            <v>BRACKET ASSY HEADLAMP MTG LH</v>
          </cell>
          <cell r="F3654">
            <v>6.9</v>
          </cell>
        </row>
        <row r="3655">
          <cell r="D3655">
            <v>553224108208</v>
          </cell>
          <cell r="E3655" t="str">
            <v>COVER PLATE</v>
          </cell>
          <cell r="F3655">
            <v>23.17</v>
          </cell>
        </row>
        <row r="3656">
          <cell r="D3656">
            <v>278909130172</v>
          </cell>
          <cell r="E3656" t="str">
            <v>BRACKET,AIR FILTER MTG,REAR</v>
          </cell>
          <cell r="F3656">
            <v>27.36</v>
          </cell>
        </row>
        <row r="3657">
          <cell r="D3657">
            <v>277615608209</v>
          </cell>
          <cell r="E3657" t="str">
            <v>BRACKET-1 FOR W/H SUPPORT ON INTAKE MANI</v>
          </cell>
          <cell r="F3657">
            <v>7.85</v>
          </cell>
        </row>
        <row r="3658">
          <cell r="D3658">
            <v>265125608202</v>
          </cell>
          <cell r="E3658" t="str">
            <v>BRACKET,INSIDE</v>
          </cell>
          <cell r="F3658">
            <v>16.12</v>
          </cell>
        </row>
        <row r="3659">
          <cell r="D3659">
            <v>270540300104</v>
          </cell>
          <cell r="E3659" t="str">
            <v>ASSY.SPARE WHEEL CARRIER</v>
          </cell>
          <cell r="F3659">
            <v>891.05</v>
          </cell>
        </row>
        <row r="3660">
          <cell r="D3660">
            <v>508949200121</v>
          </cell>
          <cell r="E3660" t="str">
            <v>BRACKET ASSY</v>
          </cell>
          <cell r="F3660">
            <v>102.13</v>
          </cell>
        </row>
        <row r="3661">
          <cell r="D3661">
            <v>270542700151</v>
          </cell>
          <cell r="E3661" t="str">
            <v>ASSY. BRACKET (FRONT CABLE)</v>
          </cell>
          <cell r="F3661">
            <v>51.66</v>
          </cell>
        </row>
        <row r="3662">
          <cell r="D3662">
            <v>270532400109</v>
          </cell>
          <cell r="E3662" t="str">
            <v>ASSY. SHACKLE (REAR)</v>
          </cell>
          <cell r="F3662">
            <v>109.66</v>
          </cell>
        </row>
        <row r="3663">
          <cell r="D3663">
            <v>265432130164</v>
          </cell>
          <cell r="E3663" t="str">
            <v>ASSY LOWER WISHBONE COMP RH(MECH STG)</v>
          </cell>
          <cell r="F3663">
            <v>1643.63</v>
          </cell>
        </row>
        <row r="3664">
          <cell r="D3664">
            <v>553254800106</v>
          </cell>
          <cell r="E3664" t="str">
            <v>BRACKET ASSY,P-CLAMP MTG</v>
          </cell>
          <cell r="F3664">
            <v>9.1199999999999992</v>
          </cell>
        </row>
        <row r="3665">
          <cell r="D3665">
            <v>290054600101</v>
          </cell>
          <cell r="E3665" t="str">
            <v>BRACKET ASSY</v>
          </cell>
          <cell r="F3665">
            <v>111.56</v>
          </cell>
        </row>
        <row r="3666">
          <cell r="D3666">
            <v>552970100200</v>
          </cell>
          <cell r="E3666" t="str">
            <v>SUPD ASSY</v>
          </cell>
          <cell r="F3666">
            <v>822.83</v>
          </cell>
        </row>
        <row r="3667">
          <cell r="D3667">
            <v>585888210103</v>
          </cell>
          <cell r="E3667" t="str">
            <v>PIPE ASSY,REAR FENDER MTG,RH</v>
          </cell>
          <cell r="F3667">
            <v>775.03</v>
          </cell>
        </row>
        <row r="3668">
          <cell r="D3668">
            <v>270529100138</v>
          </cell>
          <cell r="E3668" t="str">
            <v>ASSY. PEDAL LEVER COMPLETE</v>
          </cell>
          <cell r="F3668">
            <v>210.18</v>
          </cell>
        </row>
        <row r="3669">
          <cell r="D3669">
            <v>550731700124</v>
          </cell>
          <cell r="E3669" t="str">
            <v>FUPD MTG,LH</v>
          </cell>
          <cell r="F3669">
            <v>297.69</v>
          </cell>
        </row>
        <row r="3670">
          <cell r="D3670">
            <v>550731700123</v>
          </cell>
          <cell r="E3670" t="str">
            <v>FUPD MTG,RH</v>
          </cell>
          <cell r="F3670">
            <v>297.69</v>
          </cell>
        </row>
        <row r="3671">
          <cell r="D3671">
            <v>287032100198</v>
          </cell>
          <cell r="E3671" t="str">
            <v>ASSY LOWER WISHBONE COMPLETE - LH (INTEG</v>
          </cell>
          <cell r="F3671">
            <v>2535.4499999999998</v>
          </cell>
        </row>
        <row r="3672">
          <cell r="D3672">
            <v>266433758206</v>
          </cell>
          <cell r="E3672" t="str">
            <v>SEAL HOLDER (OUTER)</v>
          </cell>
          <cell r="F3672">
            <v>66.760000000000005</v>
          </cell>
        </row>
        <row r="3673">
          <cell r="D3673">
            <v>264189110176</v>
          </cell>
          <cell r="E3673" t="str">
            <v>ASSY MOUTING BRACKET-RH</v>
          </cell>
          <cell r="F3673">
            <v>582.05999999999995</v>
          </cell>
        </row>
        <row r="3674">
          <cell r="D3674">
            <v>222970906701</v>
          </cell>
          <cell r="E3674" t="str">
            <v>PIN (HINGE)</v>
          </cell>
          <cell r="F3674">
            <v>17.75</v>
          </cell>
        </row>
        <row r="3675">
          <cell r="D3675">
            <v>264329200105</v>
          </cell>
          <cell r="E3675" t="str">
            <v>ASSY. PEDAL LEVER CLUTCH</v>
          </cell>
          <cell r="F3675">
            <v>145.6</v>
          </cell>
        </row>
        <row r="3676">
          <cell r="D3676">
            <v>284531900101</v>
          </cell>
          <cell r="E3676" t="str">
            <v>STONE GUARD ASSY</v>
          </cell>
          <cell r="F3676">
            <v>386.61</v>
          </cell>
        </row>
        <row r="3677">
          <cell r="D3677">
            <v>289483400390</v>
          </cell>
          <cell r="E3677" t="str">
            <v>BRACKET,AC PIPE MTG</v>
          </cell>
          <cell r="F3677">
            <v>11.95</v>
          </cell>
        </row>
        <row r="3678">
          <cell r="D3678">
            <v>550754200133</v>
          </cell>
          <cell r="E3678" t="str">
            <v>BRACKET ASSY (INLINE CONNECTOR MOUNTING)</v>
          </cell>
          <cell r="F3678">
            <v>58.36</v>
          </cell>
        </row>
        <row r="3679">
          <cell r="D3679">
            <v>550282408203</v>
          </cell>
          <cell r="E3679" t="str">
            <v>WASHER BOTTLE MTG BRACKET</v>
          </cell>
          <cell r="F3679">
            <v>25.96</v>
          </cell>
        </row>
        <row r="3680">
          <cell r="D3680">
            <v>550282400107</v>
          </cell>
          <cell r="E3680" t="str">
            <v>ASSY WASHAER WATER FILLING CAP SUPPORT.</v>
          </cell>
          <cell r="F3680">
            <v>4.38</v>
          </cell>
        </row>
        <row r="3681">
          <cell r="D3681">
            <v>550254200106</v>
          </cell>
          <cell r="E3681" t="str">
            <v>ASSY BCM MTG BKT</v>
          </cell>
          <cell r="F3681">
            <v>52.1</v>
          </cell>
        </row>
        <row r="3682">
          <cell r="D3682">
            <v>550254200105</v>
          </cell>
          <cell r="E3682" t="str">
            <v>ASSY RELAY AND W/W CTRL SUPPORT</v>
          </cell>
          <cell r="F3682">
            <v>78.17</v>
          </cell>
        </row>
        <row r="3683">
          <cell r="D3683">
            <v>289733208201</v>
          </cell>
          <cell r="E3683" t="str">
            <v>LOCK PLATE</v>
          </cell>
          <cell r="F3683">
            <v>1.78</v>
          </cell>
        </row>
        <row r="3684">
          <cell r="D3684">
            <v>289483750116</v>
          </cell>
          <cell r="E3684" t="str">
            <v>BRACKET ASSY,AC PIPE MTG</v>
          </cell>
          <cell r="F3684">
            <v>19.87</v>
          </cell>
        </row>
        <row r="3685">
          <cell r="D3685">
            <v>289483404211</v>
          </cell>
          <cell r="E3685" t="str">
            <v>CLAMP DIA 15</v>
          </cell>
          <cell r="F3685">
            <v>2.66</v>
          </cell>
        </row>
        <row r="3686">
          <cell r="D3686">
            <v>289483400318</v>
          </cell>
          <cell r="E3686" t="str">
            <v>ASSY MTG BKT FOR SUCT &amp; DISCH (EURO V)</v>
          </cell>
          <cell r="F3686">
            <v>6.51</v>
          </cell>
        </row>
        <row r="3687">
          <cell r="D3687">
            <v>289483400316</v>
          </cell>
          <cell r="E3687" t="str">
            <v>ASSY MTG BKT FOR TUBE SUCTION (EURO V)</v>
          </cell>
          <cell r="F3687">
            <v>3.59</v>
          </cell>
        </row>
        <row r="3688">
          <cell r="D3688">
            <v>280949208231</v>
          </cell>
          <cell r="E3688" t="str">
            <v>SHIELD</v>
          </cell>
          <cell r="F3688">
            <v>848.69</v>
          </cell>
        </row>
        <row r="3689">
          <cell r="D3689">
            <v>278914600141</v>
          </cell>
          <cell r="E3689" t="str">
            <v>BRACKET ASSY,INTAKE PIPE MTG</v>
          </cell>
          <cell r="F3689">
            <v>17.760000000000002</v>
          </cell>
        </row>
        <row r="3690">
          <cell r="D3690">
            <v>277615608201</v>
          </cell>
          <cell r="E3690" t="str">
            <v>BRACKET,CIGAR COIL BUNDLE SUPPORT</v>
          </cell>
          <cell r="F3690">
            <v>39.979999999999997</v>
          </cell>
        </row>
        <row r="3691">
          <cell r="D3691">
            <v>269854209981</v>
          </cell>
          <cell r="E3691" t="str">
            <v>HORN MOUNTING BRACKET</v>
          </cell>
          <cell r="F3691">
            <v>12.8</v>
          </cell>
        </row>
        <row r="3692">
          <cell r="D3692">
            <v>550733408203</v>
          </cell>
          <cell r="E3692" t="str">
            <v>BAFFLE</v>
          </cell>
          <cell r="F3692">
            <v>6.59</v>
          </cell>
        </row>
        <row r="3693">
          <cell r="D3693">
            <v>550231700104</v>
          </cell>
          <cell r="E3693" t="str">
            <v>RADIATOR TOP COVER ASSY.</v>
          </cell>
          <cell r="F3693">
            <v>70.37</v>
          </cell>
        </row>
        <row r="3694">
          <cell r="D3694">
            <v>284529108223</v>
          </cell>
          <cell r="E3694" t="str">
            <v>CMC BRACKET ON FIREWALL</v>
          </cell>
          <cell r="F3694">
            <v>30.63</v>
          </cell>
        </row>
        <row r="3695">
          <cell r="D3695">
            <v>265132400183</v>
          </cell>
          <cell r="E3695" t="str">
            <v>ASSY.SHACKLE (REAR SPRING)</v>
          </cell>
          <cell r="F3695">
            <v>99.59</v>
          </cell>
        </row>
        <row r="3696">
          <cell r="D3696">
            <v>277615608210</v>
          </cell>
          <cell r="E3696" t="str">
            <v>BRACKET-2 FOR W/H SUPPORT ON INTAKE MANI</v>
          </cell>
          <cell r="F3696">
            <v>16.75</v>
          </cell>
        </row>
        <row r="3697">
          <cell r="D3697">
            <v>289847508273</v>
          </cell>
          <cell r="E3697" t="str">
            <v>STONE GUARD</v>
          </cell>
          <cell r="F3697">
            <v>19.2</v>
          </cell>
        </row>
        <row r="3698">
          <cell r="D3698">
            <v>289847508274</v>
          </cell>
          <cell r="E3698" t="str">
            <v>STONE GUARD</v>
          </cell>
          <cell r="F3698">
            <v>19.2</v>
          </cell>
        </row>
        <row r="3699">
          <cell r="D3699">
            <v>289847508275</v>
          </cell>
          <cell r="E3699" t="str">
            <v>C-BRACKET</v>
          </cell>
          <cell r="F3699">
            <v>24.87</v>
          </cell>
        </row>
        <row r="3700">
          <cell r="D3700">
            <v>252714113342</v>
          </cell>
          <cell r="E3700" t="str">
            <v>SUPPORT BRACKET</v>
          </cell>
          <cell r="F3700">
            <v>10.77</v>
          </cell>
        </row>
        <row r="3701">
          <cell r="D3701">
            <v>252714603322</v>
          </cell>
          <cell r="E3701" t="str">
            <v>SUPPORT BRACKET,AIR INTAKE ELBOW PIPE</v>
          </cell>
          <cell r="F3701">
            <v>9.52</v>
          </cell>
        </row>
        <row r="3702">
          <cell r="D3702">
            <v>252714603331</v>
          </cell>
          <cell r="E3702" t="str">
            <v>BRACKET (FOR IC PIPE SUPPORT)</v>
          </cell>
          <cell r="F3702">
            <v>52.58</v>
          </cell>
        </row>
        <row r="3703">
          <cell r="D3703">
            <v>252714608203</v>
          </cell>
          <cell r="E3703" t="str">
            <v>SUPPORT (FOR PIPE TC TO IC):SFC709EX</v>
          </cell>
          <cell r="F3703">
            <v>23.39</v>
          </cell>
        </row>
        <row r="3704">
          <cell r="D3704">
            <v>252722107120</v>
          </cell>
          <cell r="E3704" t="str">
            <v>LIFTING HOOK REAR</v>
          </cell>
          <cell r="F3704">
            <v>48.22</v>
          </cell>
        </row>
        <row r="3705">
          <cell r="D3705">
            <v>252722107121</v>
          </cell>
          <cell r="E3705" t="str">
            <v>LIFTING HOOK FRONT (497 SIDE ENTRY)</v>
          </cell>
          <cell r="F3705">
            <v>51.34</v>
          </cell>
        </row>
        <row r="3706">
          <cell r="D3706">
            <v>252750104216</v>
          </cell>
          <cell r="E3706" t="str">
            <v>B TYPE CLAMP</v>
          </cell>
          <cell r="F3706">
            <v>3.87</v>
          </cell>
        </row>
        <row r="3707">
          <cell r="D3707">
            <v>252750110156</v>
          </cell>
          <cell r="E3707" t="str">
            <v>ASSY CLAMP WITH SLEEVE</v>
          </cell>
          <cell r="F3707">
            <v>5.0999999999999996</v>
          </cell>
        </row>
        <row r="3708">
          <cell r="D3708">
            <v>252750110298</v>
          </cell>
          <cell r="E3708" t="str">
            <v>ASSY BRACKET (FOR PIPE SUPPORT)</v>
          </cell>
          <cell r="F3708">
            <v>13.78</v>
          </cell>
        </row>
        <row r="3709">
          <cell r="D3709">
            <v>252750110360</v>
          </cell>
          <cell r="E3709" t="str">
            <v>FILLER NECK ASSY</v>
          </cell>
          <cell r="F3709">
            <v>193.7</v>
          </cell>
        </row>
        <row r="3710">
          <cell r="D3710">
            <v>253407143304</v>
          </cell>
          <cell r="E3710" t="str">
            <v>ASSY. BRACKET FOR W/H (COMMON RAIL)</v>
          </cell>
          <cell r="F3710">
            <v>25.71</v>
          </cell>
        </row>
        <row r="3711">
          <cell r="D3711">
            <v>257347500116</v>
          </cell>
          <cell r="E3711" t="str">
            <v>ASSY SUPPORT</v>
          </cell>
          <cell r="F3711">
            <v>141.91999999999999</v>
          </cell>
        </row>
        <row r="3712">
          <cell r="D3712">
            <v>264142900199</v>
          </cell>
          <cell r="E3712" t="str">
            <v>ASSY.BRACKET</v>
          </cell>
          <cell r="F3712">
            <v>6.27</v>
          </cell>
        </row>
        <row r="3713">
          <cell r="D3713">
            <v>264149200136</v>
          </cell>
          <cell r="E3713" t="str">
            <v>ASSY.BRACKET</v>
          </cell>
          <cell r="F3713">
            <v>10.07</v>
          </cell>
        </row>
        <row r="3714">
          <cell r="D3714">
            <v>264243700106</v>
          </cell>
          <cell r="E3714" t="str">
            <v>BRACKET ASSY FOR CONNECTOR MTG</v>
          </cell>
          <cell r="F3714">
            <v>82.82</v>
          </cell>
        </row>
        <row r="3715">
          <cell r="D3715">
            <v>264243903302</v>
          </cell>
          <cell r="E3715" t="str">
            <v>BRACKET (FOR NYLON PIPE SET)</v>
          </cell>
          <cell r="F3715">
            <v>5.87</v>
          </cell>
        </row>
        <row r="3716">
          <cell r="D3716">
            <v>264247608209</v>
          </cell>
          <cell r="E3716" t="str">
            <v>BRACKET,FUEL CLAMP</v>
          </cell>
          <cell r="F3716">
            <v>18.64</v>
          </cell>
        </row>
        <row r="3717">
          <cell r="D3717">
            <v>264429100109</v>
          </cell>
          <cell r="E3717" t="str">
            <v>ASSY BRAKE PEDAL LEVER COMPLETE.</v>
          </cell>
          <cell r="F3717">
            <v>107.67</v>
          </cell>
        </row>
        <row r="3718">
          <cell r="D3718">
            <v>264754608201</v>
          </cell>
          <cell r="E3718" t="str">
            <v>CLAMP - W/H ROUTING</v>
          </cell>
          <cell r="F3718">
            <v>2.08</v>
          </cell>
        </row>
        <row r="3719">
          <cell r="D3719">
            <v>265243108203</v>
          </cell>
          <cell r="E3719" t="str">
            <v>BRACKET LCRV MTG ON RE AXLE</v>
          </cell>
          <cell r="F3719">
            <v>13.96</v>
          </cell>
        </row>
        <row r="3720">
          <cell r="D3720">
            <v>265468908250</v>
          </cell>
          <cell r="E3720" t="str">
            <v>SUPPORT(DEFROST NOZZLE)-R.H.</v>
          </cell>
          <cell r="F3720">
            <v>23.32</v>
          </cell>
        </row>
        <row r="3721">
          <cell r="D3721">
            <v>265468908251</v>
          </cell>
          <cell r="E3721" t="str">
            <v>SUPPORT (DEFROST NOZZLE)-L.H.</v>
          </cell>
          <cell r="F3721">
            <v>23.32</v>
          </cell>
        </row>
        <row r="3722">
          <cell r="D3722">
            <v>265470309201</v>
          </cell>
          <cell r="E3722" t="str">
            <v>WASHER (LOAD GUARD MTG.)</v>
          </cell>
          <cell r="F3722">
            <v>1.07</v>
          </cell>
        </row>
        <row r="3723">
          <cell r="D3723">
            <v>265732900102</v>
          </cell>
          <cell r="E3723" t="str">
            <v>ASSY.BRACKET.(REAR ARB.MTG ON LONG MEM)</v>
          </cell>
          <cell r="F3723">
            <v>129.72</v>
          </cell>
        </row>
        <row r="3724">
          <cell r="D3724">
            <v>266135608204</v>
          </cell>
          <cell r="E3724" t="str">
            <v>OIL CATCHER ,RA-1055,245 PCD,CON BRG.</v>
          </cell>
          <cell r="F3724">
            <v>37.79</v>
          </cell>
        </row>
        <row r="3725">
          <cell r="D3725">
            <v>267491700102</v>
          </cell>
          <cell r="E3725" t="str">
            <v>STAND ASSY,DRIVER SEAT MTG</v>
          </cell>
          <cell r="F3725">
            <v>298.52</v>
          </cell>
        </row>
        <row r="3726">
          <cell r="D3726">
            <v>269842700158</v>
          </cell>
          <cell r="E3726" t="str">
            <v>ASSY.PARK.BRAKE LEVER MTG.BRKT.(ON FLOOR</v>
          </cell>
          <cell r="F3726">
            <v>40.770000000000003</v>
          </cell>
        </row>
        <row r="3727">
          <cell r="D3727">
            <v>270029500108</v>
          </cell>
          <cell r="E3727" t="str">
            <v>ASSY. CONTROL MTG.BRACKET</v>
          </cell>
          <cell r="F3727">
            <v>211.86</v>
          </cell>
        </row>
        <row r="3728">
          <cell r="D3728">
            <v>270154900102</v>
          </cell>
          <cell r="E3728" t="str">
            <v>C/L.MASTER MTG.PLATE LH DOOR</v>
          </cell>
          <cell r="F3728">
            <v>16.25</v>
          </cell>
        </row>
        <row r="3729">
          <cell r="D3729">
            <v>270529300102</v>
          </cell>
          <cell r="E3729" t="str">
            <v>ASSY. BRACKET</v>
          </cell>
          <cell r="F3729">
            <v>129.16999999999999</v>
          </cell>
        </row>
        <row r="3730">
          <cell r="D3730">
            <v>274789100116</v>
          </cell>
          <cell r="E3730" t="str">
            <v>ASSY.SUPPORT REAR (MUDGUARD MTG)-LH</v>
          </cell>
          <cell r="F3730">
            <v>79.7</v>
          </cell>
        </row>
        <row r="3731">
          <cell r="D3731">
            <v>274789100120</v>
          </cell>
          <cell r="E3731" t="str">
            <v>ASSY.CAB MTG.BKT.REAR-RH (CHASSIS SIDE)</v>
          </cell>
          <cell r="F3731">
            <v>732.9</v>
          </cell>
        </row>
        <row r="3732">
          <cell r="D3732">
            <v>275489100101</v>
          </cell>
          <cell r="E3732" t="str">
            <v>ASY BRKT REAR LH(CAB MTG &amp; SHOCK ABSORB</v>
          </cell>
          <cell r="F3732">
            <v>540.57000000000005</v>
          </cell>
        </row>
        <row r="3733">
          <cell r="D3733">
            <v>282147608215</v>
          </cell>
          <cell r="E3733" t="str">
            <v>BRACKET STRAINER MOUNTING</v>
          </cell>
          <cell r="F3733">
            <v>11.03</v>
          </cell>
        </row>
        <row r="3734">
          <cell r="D3734">
            <v>282654200110</v>
          </cell>
          <cell r="E3734" t="str">
            <v>ASSY.BKT EGR CTRL-BS-III</v>
          </cell>
          <cell r="F3734">
            <v>6.4</v>
          </cell>
        </row>
        <row r="3735">
          <cell r="D3735">
            <v>284547500168</v>
          </cell>
          <cell r="E3735" t="str">
            <v>ASSY BRACKET FOR PRE FILTER MOUNTING</v>
          </cell>
          <cell r="F3735">
            <v>24.46</v>
          </cell>
        </row>
        <row r="3736">
          <cell r="D3736">
            <v>284646804206</v>
          </cell>
          <cell r="E3736" t="str">
            <v>CLAMP</v>
          </cell>
          <cell r="F3736">
            <v>17.23</v>
          </cell>
        </row>
        <row r="3737">
          <cell r="D3737">
            <v>285526824202</v>
          </cell>
          <cell r="E3737" t="str">
            <v>CLAMP (CABLES)</v>
          </cell>
          <cell r="F3737">
            <v>3.7</v>
          </cell>
        </row>
        <row r="3738">
          <cell r="D3738">
            <v>289443800138</v>
          </cell>
          <cell r="E3738" t="str">
            <v>BRACKET,ABS ECU MTG</v>
          </cell>
          <cell r="F3738">
            <v>58.89</v>
          </cell>
        </row>
        <row r="3739">
          <cell r="D3739">
            <v>289654508206</v>
          </cell>
          <cell r="E3739" t="str">
            <v>FLASHER BASE BRACKET</v>
          </cell>
          <cell r="F3739">
            <v>6.06</v>
          </cell>
        </row>
        <row r="3740">
          <cell r="D3740">
            <v>289854608229</v>
          </cell>
          <cell r="E3740" t="str">
            <v>BRACKET,WIRING HARNESS MTG</v>
          </cell>
          <cell r="F3740">
            <v>3.57</v>
          </cell>
        </row>
        <row r="3741">
          <cell r="D3741">
            <v>3122641410</v>
          </cell>
          <cell r="E3741" t="str">
            <v>FRONT COVER</v>
          </cell>
          <cell r="F3741">
            <v>24.27</v>
          </cell>
        </row>
        <row r="3742">
          <cell r="D3742">
            <v>502354638210</v>
          </cell>
          <cell r="E3742" t="str">
            <v>BRKT FOR STARTER RELAY MTG</v>
          </cell>
          <cell r="F3742">
            <v>35.35</v>
          </cell>
        </row>
        <row r="3743">
          <cell r="D3743">
            <v>550229100132</v>
          </cell>
          <cell r="E3743" t="str">
            <v>ASSY BRACKET (CLUTCH SLAVE CYL. HOSE)</v>
          </cell>
          <cell r="F3743">
            <v>7.91</v>
          </cell>
        </row>
        <row r="3744">
          <cell r="D3744">
            <v>550243800139</v>
          </cell>
          <cell r="E3744" t="str">
            <v>ASS.BRAKE PIPE MTG.BKT.ON FIREWALL</v>
          </cell>
          <cell r="F3744">
            <v>10.15</v>
          </cell>
        </row>
        <row r="3745">
          <cell r="D3745">
            <v>550254608205</v>
          </cell>
          <cell r="E3745" t="str">
            <v>WH EMS SUPPORT NEAR DPS</v>
          </cell>
          <cell r="F3745">
            <v>2.34</v>
          </cell>
        </row>
        <row r="3746">
          <cell r="D3746">
            <v>550649200114</v>
          </cell>
          <cell r="E3746" t="str">
            <v>BRACKET ASSY</v>
          </cell>
          <cell r="F3746">
            <v>175.87</v>
          </cell>
        </row>
        <row r="3747">
          <cell r="D3747">
            <v>550749103339</v>
          </cell>
          <cell r="E3747" t="str">
            <v>MTG BRACKET FOR NOISE SHIELD</v>
          </cell>
          <cell r="F3747">
            <v>43.79</v>
          </cell>
        </row>
        <row r="3748">
          <cell r="D3748">
            <v>552742703303</v>
          </cell>
          <cell r="E3748" t="str">
            <v>BRACKET,PARKING BRAKE LEVER MTG</v>
          </cell>
          <cell r="F3748">
            <v>12.04</v>
          </cell>
        </row>
        <row r="3749">
          <cell r="D3749">
            <v>553343700101</v>
          </cell>
          <cell r="E3749" t="str">
            <v>BRACKET APDA MTG</v>
          </cell>
          <cell r="F3749">
            <v>470.97</v>
          </cell>
        </row>
        <row r="3750">
          <cell r="D3750">
            <v>553346808202</v>
          </cell>
          <cell r="E3750" t="str">
            <v>BRKT-STRG PIPE MTG</v>
          </cell>
          <cell r="F3750">
            <v>58.07</v>
          </cell>
        </row>
        <row r="3751">
          <cell r="D3751">
            <v>553349100102</v>
          </cell>
          <cell r="E3751" t="str">
            <v>ASSEMBLY BRACKET</v>
          </cell>
          <cell r="F3751">
            <v>167.19</v>
          </cell>
        </row>
        <row r="3752">
          <cell r="D3752">
            <v>553354608207</v>
          </cell>
          <cell r="E3752" t="str">
            <v>BRACKET FOR SENSOR WH MTG FOR LF BUS</v>
          </cell>
          <cell r="F3752">
            <v>28.01</v>
          </cell>
        </row>
        <row r="3753">
          <cell r="D3753">
            <v>570609133330</v>
          </cell>
          <cell r="E3753" t="str">
            <v>AIR FILTER CLEAN SIDE BKT</v>
          </cell>
          <cell r="F3753">
            <v>13.4</v>
          </cell>
        </row>
        <row r="3754">
          <cell r="D3754">
            <v>570913133304</v>
          </cell>
          <cell r="E3754" t="str">
            <v>CLAMP (COMPRESSOR INLET LINE)</v>
          </cell>
          <cell r="F3754">
            <v>2.2400000000000002</v>
          </cell>
        </row>
        <row r="3755">
          <cell r="D3755">
            <v>585864200101</v>
          </cell>
          <cell r="E3755" t="str">
            <v>ASSY REINF TOP SNORKEL MTG LH</v>
          </cell>
          <cell r="F3755">
            <v>22.06</v>
          </cell>
        </row>
        <row r="3756">
          <cell r="D3756">
            <v>264749200143</v>
          </cell>
          <cell r="E3756" t="str">
            <v>COVER ASSY</v>
          </cell>
          <cell r="F3756">
            <v>320.24</v>
          </cell>
        </row>
        <row r="3757">
          <cell r="D3757">
            <v>264749200136</v>
          </cell>
          <cell r="E3757" t="str">
            <v>STONE GUARD ASSY</v>
          </cell>
          <cell r="F3757">
            <v>304.70999999999998</v>
          </cell>
        </row>
        <row r="3758">
          <cell r="D3758">
            <v>264747700102</v>
          </cell>
          <cell r="E3758" t="str">
            <v>COVER ASSY FUEL FILTER</v>
          </cell>
          <cell r="F3758">
            <v>377</v>
          </cell>
        </row>
        <row r="3759">
          <cell r="D3759">
            <v>218546200104</v>
          </cell>
          <cell r="E3759" t="str">
            <v>ASSY STG AND COWL MTG BKT RHD</v>
          </cell>
          <cell r="F3759">
            <v>843.26</v>
          </cell>
        </row>
        <row r="3760">
          <cell r="D3760">
            <v>219049200124</v>
          </cell>
          <cell r="E3760" t="str">
            <v>BRACKET ASSY,MAIN SILENCER MTG</v>
          </cell>
          <cell r="F3760">
            <v>107.64</v>
          </cell>
        </row>
        <row r="3761">
          <cell r="D3761">
            <v>219054108203</v>
          </cell>
          <cell r="E3761" t="str">
            <v>STARTER FUSE MTG BKT _LPT</v>
          </cell>
          <cell r="F3761">
            <v>11.36</v>
          </cell>
        </row>
        <row r="3762">
          <cell r="D3762">
            <v>219509130108</v>
          </cell>
          <cell r="E3762" t="str">
            <v>PROTECTIVE COVER ASSY</v>
          </cell>
          <cell r="F3762">
            <v>82.21</v>
          </cell>
        </row>
        <row r="3763">
          <cell r="D3763">
            <v>264189110178</v>
          </cell>
          <cell r="E3763" t="str">
            <v>SUPPORT ASSY,MUDGUARD,RH</v>
          </cell>
          <cell r="F3763">
            <v>209.03</v>
          </cell>
        </row>
        <row r="3764">
          <cell r="D3764">
            <v>284586800129</v>
          </cell>
          <cell r="E3764" t="str">
            <v>PARTITION WALL</v>
          </cell>
          <cell r="F3764">
            <v>14994.58</v>
          </cell>
        </row>
        <row r="3765">
          <cell r="D3765">
            <v>284586800130</v>
          </cell>
          <cell r="E3765" t="str">
            <v>PARTITION WALL</v>
          </cell>
          <cell r="F3765">
            <v>14994.58</v>
          </cell>
        </row>
        <row r="3766">
          <cell r="D3766">
            <v>278914103307</v>
          </cell>
          <cell r="E3766" t="str">
            <v>BRACKET (VACUUM RESERVOIR MOUNTING)</v>
          </cell>
          <cell r="F3766">
            <v>13.81</v>
          </cell>
        </row>
        <row r="3767">
          <cell r="D3767">
            <v>222970100134</v>
          </cell>
          <cell r="E3767" t="str">
            <v>SUPD ASSY,RH</v>
          </cell>
          <cell r="F3767">
            <v>759.35</v>
          </cell>
        </row>
        <row r="3768">
          <cell r="D3768">
            <v>270529100135</v>
          </cell>
          <cell r="E3768" t="str">
            <v>ASSY. CLUTCH PEDAL COMPLETE</v>
          </cell>
          <cell r="F3768">
            <v>192.85</v>
          </cell>
        </row>
        <row r="3769">
          <cell r="D3769">
            <v>222970100136</v>
          </cell>
          <cell r="E3769" t="str">
            <v>SUPD ASSY,LH</v>
          </cell>
          <cell r="F3769">
            <v>759.35</v>
          </cell>
        </row>
        <row r="3770">
          <cell r="D3770">
            <v>886354000774</v>
          </cell>
          <cell r="E3770" t="str">
            <v>REMI MINI CAR FAN BS6-PH2</v>
          </cell>
          <cell r="F3770">
            <v>1750</v>
          </cell>
        </row>
        <row r="3771">
          <cell r="D3771">
            <v>252722120154</v>
          </cell>
          <cell r="E3771" t="str">
            <v>BRACKET ASSY,ENGINE MTG</v>
          </cell>
          <cell r="F3771">
            <v>626.42999999999995</v>
          </cell>
        </row>
        <row r="3772">
          <cell r="D3772">
            <v>252722120153</v>
          </cell>
          <cell r="E3772" t="str">
            <v>BRACKET ASSY,ENGINE MTG</v>
          </cell>
          <cell r="F3772">
            <v>485.39</v>
          </cell>
        </row>
        <row r="3773">
          <cell r="D3773">
            <v>886354000781</v>
          </cell>
          <cell r="E3773" t="str">
            <v>BLINKER LIGHT 6 LED BS6-PH2</v>
          </cell>
          <cell r="F3773">
            <v>1020</v>
          </cell>
        </row>
        <row r="3774">
          <cell r="D3774">
            <v>886354000782</v>
          </cell>
          <cell r="E3774" t="str">
            <v>BLINKER LIGHT 4 LED BS6-PH2</v>
          </cell>
          <cell r="F3774">
            <v>980</v>
          </cell>
        </row>
        <row r="3775">
          <cell r="D3775">
            <v>886360001602</v>
          </cell>
          <cell r="E3775" t="str">
            <v>FRONT SIDE ASSY SET BS6-PH2</v>
          </cell>
          <cell r="F3775">
            <v>1910</v>
          </cell>
        </row>
        <row r="3776">
          <cell r="D3776">
            <v>555583750108</v>
          </cell>
          <cell r="E3776" t="str">
            <v>BRACKET ASSY,AC PIPE MTG</v>
          </cell>
          <cell r="F3776">
            <v>10.97</v>
          </cell>
        </row>
        <row r="3777">
          <cell r="D3777">
            <v>555583750109</v>
          </cell>
          <cell r="E3777" t="str">
            <v>BRACKET ASSY,AC PIPE MTG</v>
          </cell>
          <cell r="F3777">
            <v>13.33</v>
          </cell>
        </row>
        <row r="3778">
          <cell r="D3778">
            <v>555583753305</v>
          </cell>
          <cell r="E3778" t="str">
            <v>BRACKET TOP, CONDENSER MOUNTING RH</v>
          </cell>
          <cell r="F3778">
            <v>11.74</v>
          </cell>
        </row>
        <row r="3779">
          <cell r="D3779">
            <v>555583753304</v>
          </cell>
          <cell r="E3779" t="str">
            <v>BRACKET TOP, CONDENSER MOUNTING LH</v>
          </cell>
          <cell r="F3779">
            <v>12.89</v>
          </cell>
        </row>
        <row r="3780">
          <cell r="D3780">
            <v>503626803301</v>
          </cell>
          <cell r="E3780" t="str">
            <v>BRACKET TWISTED</v>
          </cell>
          <cell r="F3780">
            <v>9.92</v>
          </cell>
        </row>
        <row r="3781">
          <cell r="D3781">
            <v>570650110184</v>
          </cell>
          <cell r="E3781" t="str">
            <v>BRACKET ASSY</v>
          </cell>
          <cell r="F3781">
            <v>118.24</v>
          </cell>
        </row>
        <row r="3782">
          <cell r="D3782">
            <v>585883753306</v>
          </cell>
          <cell r="E3782" t="str">
            <v>BRACKET,AC PIPE MTG,LH</v>
          </cell>
          <cell r="F3782">
            <v>40.53</v>
          </cell>
        </row>
        <row r="3783">
          <cell r="D3783">
            <v>555483753302</v>
          </cell>
          <cell r="E3783" t="str">
            <v>BRACKET LH TOP</v>
          </cell>
          <cell r="F3783">
            <v>18.920000000000002</v>
          </cell>
        </row>
        <row r="3784">
          <cell r="D3784">
            <v>253423123305</v>
          </cell>
          <cell r="E3784" t="str">
            <v>SUPPORT BRACKET</v>
          </cell>
          <cell r="F3784">
            <v>10.65</v>
          </cell>
        </row>
        <row r="3785">
          <cell r="D3785">
            <v>284583750113</v>
          </cell>
          <cell r="E3785" t="str">
            <v>BRACKET ASSY</v>
          </cell>
          <cell r="F3785">
            <v>6.98</v>
          </cell>
        </row>
        <row r="3786">
          <cell r="D3786">
            <v>284583750105</v>
          </cell>
          <cell r="E3786" t="str">
            <v>BRACKET ASSY,AC PIPE MTG</v>
          </cell>
          <cell r="F3786">
            <v>7.17</v>
          </cell>
        </row>
        <row r="3787">
          <cell r="D3787">
            <v>540754229907</v>
          </cell>
          <cell r="E3787" t="str">
            <v>WASHER FRONT WASHER PLATE</v>
          </cell>
          <cell r="F3787">
            <v>20.09</v>
          </cell>
        </row>
        <row r="3788">
          <cell r="D3788">
            <v>289833800101</v>
          </cell>
          <cell r="E3788" t="str">
            <v>BRACKET ASSY</v>
          </cell>
          <cell r="F3788">
            <v>51.01</v>
          </cell>
        </row>
        <row r="3789">
          <cell r="D3789">
            <v>289833103305</v>
          </cell>
          <cell r="E3789" t="str">
            <v>BRACKET</v>
          </cell>
          <cell r="F3789">
            <v>45.14</v>
          </cell>
        </row>
        <row r="3790">
          <cell r="D3790">
            <v>290049200162</v>
          </cell>
          <cell r="E3790" t="str">
            <v>BRACKET ASSY,SM MTG</v>
          </cell>
          <cell r="F3790">
            <v>196.78</v>
          </cell>
        </row>
        <row r="3791">
          <cell r="D3791">
            <v>554749203323</v>
          </cell>
          <cell r="E3791" t="str">
            <v>BRACKET</v>
          </cell>
          <cell r="F3791">
            <v>8.24</v>
          </cell>
        </row>
        <row r="3792">
          <cell r="D3792">
            <v>511849203305</v>
          </cell>
          <cell r="E3792" t="str">
            <v>BRACKET,FRONT PIPE MTG</v>
          </cell>
          <cell r="F3792">
            <v>69.430000000000007</v>
          </cell>
        </row>
        <row r="3793">
          <cell r="D3793">
            <v>264126800204</v>
          </cell>
          <cell r="E3793" t="str">
            <v>SUB. ASSY. CUP</v>
          </cell>
          <cell r="F3793">
            <v>75.37</v>
          </cell>
        </row>
        <row r="3794">
          <cell r="D3794">
            <v>251626307101</v>
          </cell>
          <cell r="E3794" t="str">
            <v>GEAR BOX COVER FRONT LOWER</v>
          </cell>
          <cell r="F3794">
            <v>53.58</v>
          </cell>
        </row>
        <row r="3795">
          <cell r="D3795">
            <v>3172670008</v>
          </cell>
          <cell r="E3795" t="str">
            <v>BALL PIECE</v>
          </cell>
          <cell r="F3795">
            <v>10.47</v>
          </cell>
        </row>
        <row r="3796">
          <cell r="D3796">
            <v>252723148204</v>
          </cell>
          <cell r="E3796" t="str">
            <v>SUPPORT BRACKET</v>
          </cell>
          <cell r="F3796">
            <v>91.8</v>
          </cell>
        </row>
        <row r="3797">
          <cell r="D3797">
            <v>252715148230</v>
          </cell>
          <cell r="E3797" t="str">
            <v>SUPPORT BRACKET</v>
          </cell>
          <cell r="F3797">
            <v>99.5</v>
          </cell>
        </row>
        <row r="3798">
          <cell r="D3798">
            <v>252715148229</v>
          </cell>
          <cell r="E3798" t="str">
            <v>SUPPORT BRACKET</v>
          </cell>
          <cell r="F3798">
            <v>102.52</v>
          </cell>
        </row>
        <row r="3799">
          <cell r="D3799">
            <v>270542700150</v>
          </cell>
          <cell r="E3799" t="str">
            <v>ASSY BRACKET (REAR CABLE)</v>
          </cell>
          <cell r="F3799">
            <v>236.01</v>
          </cell>
        </row>
        <row r="3800">
          <cell r="D3800">
            <v>270529100120</v>
          </cell>
          <cell r="E3800" t="str">
            <v>ASSY.BRAKE PEDAL COMPLETE-LHD</v>
          </cell>
          <cell r="F3800">
            <v>196.88</v>
          </cell>
        </row>
        <row r="3801">
          <cell r="D3801">
            <v>570654603301</v>
          </cell>
          <cell r="E3801" t="str">
            <v>BRACKET,ECU W/H SUPPORT</v>
          </cell>
          <cell r="F3801">
            <v>36.770000000000003</v>
          </cell>
        </row>
        <row r="3802">
          <cell r="D3802">
            <v>570620130119</v>
          </cell>
          <cell r="E3802" t="str">
            <v>SUPPORT BRACKET ASSY,T-CONNECTOR</v>
          </cell>
          <cell r="F3802">
            <v>39.840000000000003</v>
          </cell>
        </row>
        <row r="3803">
          <cell r="D3803">
            <v>290031700165</v>
          </cell>
          <cell r="E3803" t="str">
            <v>BRACKET ASSY,RUPD MTG,LH</v>
          </cell>
          <cell r="F3803">
            <v>344.46</v>
          </cell>
        </row>
        <row r="3804">
          <cell r="D3804">
            <v>290031700164</v>
          </cell>
          <cell r="E3804" t="str">
            <v>BRACKET ASSY,RUPD MTG,RH</v>
          </cell>
          <cell r="F3804">
            <v>344.46</v>
          </cell>
        </row>
        <row r="3805">
          <cell r="D3805">
            <v>252722120143</v>
          </cell>
          <cell r="E3805" t="str">
            <v>BRACKET ASSY,ENGINE MTG,RH</v>
          </cell>
          <cell r="F3805">
            <v>374.59</v>
          </cell>
        </row>
        <row r="3806">
          <cell r="D3806">
            <v>252722120144</v>
          </cell>
          <cell r="E3806" t="str">
            <v>BRACKET ASSY,ENGINE MTG,LH</v>
          </cell>
          <cell r="F3806">
            <v>528.05999999999995</v>
          </cell>
        </row>
        <row r="3807">
          <cell r="D3807">
            <v>290031700167</v>
          </cell>
          <cell r="E3807" t="str">
            <v>BEAM ASSY,RUPD</v>
          </cell>
          <cell r="F3807">
            <v>996.65</v>
          </cell>
        </row>
        <row r="3808">
          <cell r="D3808">
            <v>252715148226</v>
          </cell>
          <cell r="E3808" t="str">
            <v>BRACKET</v>
          </cell>
          <cell r="F3808">
            <v>5.27</v>
          </cell>
        </row>
        <row r="3809">
          <cell r="D3809">
            <v>252714113345</v>
          </cell>
          <cell r="E3809" t="str">
            <v>SUPPORT BRACKET</v>
          </cell>
          <cell r="F3809">
            <v>36.92</v>
          </cell>
        </row>
        <row r="3810">
          <cell r="D3810">
            <v>252714120117</v>
          </cell>
          <cell r="E3810" t="str">
            <v>BRACKET ASSY</v>
          </cell>
          <cell r="F3810">
            <v>993.59</v>
          </cell>
        </row>
        <row r="3811">
          <cell r="D3811">
            <v>252722120152</v>
          </cell>
          <cell r="E3811" t="str">
            <v>BRACKET ASSY,ENGINE MTG</v>
          </cell>
          <cell r="F3811">
            <v>624.07000000000005</v>
          </cell>
        </row>
        <row r="3812">
          <cell r="D3812">
            <v>252722120151</v>
          </cell>
          <cell r="E3812" t="str">
            <v>BRACKET ASSY,ENGINE MTG</v>
          </cell>
          <cell r="F3812">
            <v>480.06</v>
          </cell>
        </row>
        <row r="3813">
          <cell r="D3813">
            <v>550754608234</v>
          </cell>
          <cell r="E3813" t="str">
            <v>BRACKET(5L ENG FLYWHEEL HOUSING)</v>
          </cell>
          <cell r="F3813">
            <v>5.98</v>
          </cell>
        </row>
        <row r="3814">
          <cell r="D3814">
            <v>515383403301</v>
          </cell>
          <cell r="E3814" t="str">
            <v>BRACKET</v>
          </cell>
          <cell r="F3814">
            <v>4.49</v>
          </cell>
        </row>
        <row r="3815">
          <cell r="D3815">
            <v>264160148220</v>
          </cell>
          <cell r="E3815" t="str">
            <v>BRACKET,BOTTOM</v>
          </cell>
          <cell r="F3815">
            <v>8.57</v>
          </cell>
        </row>
        <row r="3816">
          <cell r="D3816">
            <v>570650110162</v>
          </cell>
          <cell r="E3816" t="str">
            <v>BRACKET ASSY</v>
          </cell>
          <cell r="F3816">
            <v>24.28</v>
          </cell>
        </row>
        <row r="3817">
          <cell r="D3817">
            <v>290054603301</v>
          </cell>
          <cell r="E3817" t="str">
            <v>BRACKET,WIRING HARNESS MTG</v>
          </cell>
          <cell r="F3817">
            <v>8.3800000000000008</v>
          </cell>
        </row>
        <row r="3818">
          <cell r="D3818">
            <v>289854603346</v>
          </cell>
          <cell r="E3818" t="str">
            <v>BRACKET EMS MTG</v>
          </cell>
          <cell r="F3818">
            <v>10.82</v>
          </cell>
        </row>
        <row r="3819">
          <cell r="D3819">
            <v>252713103309</v>
          </cell>
          <cell r="E3819" t="str">
            <v>SUPPORT BRACKET</v>
          </cell>
          <cell r="F3819">
            <v>10.36</v>
          </cell>
        </row>
        <row r="3820">
          <cell r="D3820">
            <v>886360001666</v>
          </cell>
          <cell r="E3820" t="str">
            <v>RH SIDE ASSY SET BS6-PH2</v>
          </cell>
          <cell r="F3820">
            <v>7206</v>
          </cell>
        </row>
        <row r="3821">
          <cell r="D3821">
            <v>886354000820</v>
          </cell>
          <cell r="E3821" t="str">
            <v>886354000820</v>
          </cell>
          <cell r="F3821">
            <v>550</v>
          </cell>
        </row>
        <row r="3822">
          <cell r="D3822">
            <v>886354000822</v>
          </cell>
          <cell r="E3822" t="str">
            <v>886354000822</v>
          </cell>
          <cell r="F3822">
            <v>560</v>
          </cell>
        </row>
        <row r="3823">
          <cell r="D3823">
            <v>886354000823</v>
          </cell>
          <cell r="E3823" t="str">
            <v>886354000823</v>
          </cell>
          <cell r="F3823">
            <v>1500</v>
          </cell>
        </row>
        <row r="3824">
          <cell r="D3824">
            <v>886360001824</v>
          </cell>
          <cell r="E3824" t="str">
            <v>886360001824</v>
          </cell>
          <cell r="F3824">
            <v>19500</v>
          </cell>
        </row>
        <row r="3825">
          <cell r="D3825">
            <v>886360001825</v>
          </cell>
          <cell r="E3825" t="str">
            <v>886360001825</v>
          </cell>
          <cell r="F3825">
            <v>12400</v>
          </cell>
        </row>
        <row r="3826">
          <cell r="D3826">
            <v>886360001826</v>
          </cell>
          <cell r="E3826" t="str">
            <v>886360001826</v>
          </cell>
          <cell r="F3826">
            <v>1800</v>
          </cell>
        </row>
        <row r="3827">
          <cell r="D3827">
            <v>886360001833</v>
          </cell>
          <cell r="E3827" t="str">
            <v>886360001833</v>
          </cell>
          <cell r="F3827">
            <v>10500</v>
          </cell>
        </row>
        <row r="3828">
          <cell r="D3828">
            <v>886360001812</v>
          </cell>
          <cell r="E3828" t="str">
            <v>886360001812</v>
          </cell>
          <cell r="F3828">
            <v>310</v>
          </cell>
        </row>
        <row r="3829">
          <cell r="D3829">
            <v>886360001813</v>
          </cell>
          <cell r="E3829" t="str">
            <v>886360001813</v>
          </cell>
          <cell r="F3829">
            <v>670</v>
          </cell>
        </row>
        <row r="3830">
          <cell r="D3830">
            <v>886360001814</v>
          </cell>
          <cell r="E3830" t="str">
            <v>886360001814</v>
          </cell>
          <cell r="F3830">
            <v>420</v>
          </cell>
        </row>
        <row r="3831">
          <cell r="D3831">
            <v>886360001815</v>
          </cell>
          <cell r="E3831" t="str">
            <v>886360001815</v>
          </cell>
          <cell r="F3831">
            <v>7600</v>
          </cell>
        </row>
        <row r="3832">
          <cell r="D3832">
            <v>886360001816</v>
          </cell>
          <cell r="E3832" t="str">
            <v>886360001816</v>
          </cell>
          <cell r="F3832">
            <v>18500</v>
          </cell>
        </row>
        <row r="3833">
          <cell r="D3833">
            <v>886360001817</v>
          </cell>
          <cell r="E3833" t="str">
            <v>886360001817</v>
          </cell>
          <cell r="F3833">
            <v>550</v>
          </cell>
        </row>
        <row r="3834">
          <cell r="D3834">
            <v>886360001818</v>
          </cell>
          <cell r="E3834" t="str">
            <v>886360001818</v>
          </cell>
          <cell r="F3834">
            <v>350</v>
          </cell>
        </row>
        <row r="3835">
          <cell r="D3835">
            <v>886360001819</v>
          </cell>
          <cell r="E3835" t="str">
            <v>886360001819</v>
          </cell>
          <cell r="F3835">
            <v>5600</v>
          </cell>
        </row>
        <row r="3836">
          <cell r="D3836">
            <v>886360001820</v>
          </cell>
          <cell r="E3836" t="str">
            <v>886360001820</v>
          </cell>
          <cell r="F3836">
            <v>6780</v>
          </cell>
        </row>
        <row r="3837">
          <cell r="D3837">
            <v>886360001821</v>
          </cell>
          <cell r="E3837" t="str">
            <v>886360001821</v>
          </cell>
          <cell r="F3837">
            <v>1500</v>
          </cell>
        </row>
        <row r="3838">
          <cell r="D3838">
            <v>886360001822</v>
          </cell>
          <cell r="E3838" t="str">
            <v>886360001822</v>
          </cell>
          <cell r="F3838">
            <v>2500</v>
          </cell>
        </row>
        <row r="3839">
          <cell r="D3839">
            <v>886360001832</v>
          </cell>
          <cell r="E3839" t="str">
            <v>886360001832</v>
          </cell>
          <cell r="F3839">
            <v>330</v>
          </cell>
        </row>
        <row r="3840">
          <cell r="D3840">
            <v>886360001834</v>
          </cell>
          <cell r="E3840" t="str">
            <v>886360001834</v>
          </cell>
          <cell r="F3840">
            <v>7500</v>
          </cell>
        </row>
        <row r="3841">
          <cell r="D3841">
            <v>886360001838</v>
          </cell>
          <cell r="E3841" t="str">
            <v>886360001838</v>
          </cell>
          <cell r="F3841">
            <v>2500</v>
          </cell>
        </row>
        <row r="3842">
          <cell r="D3842">
            <v>886360001839</v>
          </cell>
          <cell r="E3842" t="str">
            <v>886360001839</v>
          </cell>
          <cell r="F3842">
            <v>980</v>
          </cell>
        </row>
        <row r="3843">
          <cell r="D3843">
            <v>886360001840</v>
          </cell>
          <cell r="E3843" t="str">
            <v>886360001840</v>
          </cell>
          <cell r="F3843">
            <v>980</v>
          </cell>
        </row>
        <row r="3844">
          <cell r="D3844">
            <v>886360001841</v>
          </cell>
          <cell r="E3844" t="str">
            <v>886360001841</v>
          </cell>
          <cell r="F3844">
            <v>780</v>
          </cell>
        </row>
        <row r="3845">
          <cell r="D3845">
            <v>570620123310</v>
          </cell>
          <cell r="E3845" t="str">
            <v>CRIMP HOSE SUP.BKT(EGR TO WIE)</v>
          </cell>
          <cell r="F3845">
            <v>2.86</v>
          </cell>
        </row>
        <row r="3846">
          <cell r="D3846">
            <v>264189110177</v>
          </cell>
          <cell r="E3846" t="str">
            <v>SUPPORT ASSY,MUDGUARD,LH</v>
          </cell>
          <cell r="F3846">
            <v>209.04</v>
          </cell>
        </row>
        <row r="3847">
          <cell r="D3847">
            <v>264189100155</v>
          </cell>
          <cell r="E3847" t="str">
            <v>NUT PLATE ASSY,CAB MTG,FRONT</v>
          </cell>
          <cell r="F3847">
            <v>14.85</v>
          </cell>
        </row>
        <row r="3848">
          <cell r="D3848">
            <v>253420103302</v>
          </cell>
          <cell r="E3848" t="str">
            <v>CLAMP (COOLANT LINE REAR)</v>
          </cell>
          <cell r="F3848">
            <v>5.29</v>
          </cell>
        </row>
        <row r="3849">
          <cell r="D3849">
            <v>253420103301</v>
          </cell>
          <cell r="E3849" t="str">
            <v>CLAMP (COOLANT LINE SIDE)</v>
          </cell>
          <cell r="F3849">
            <v>5.76</v>
          </cell>
        </row>
        <row r="3850">
          <cell r="D3850">
            <v>252709133339</v>
          </cell>
          <cell r="E3850" t="str">
            <v>ASSY. BRACKET ( AIR INTAKE PIPE SUPPORT)</v>
          </cell>
          <cell r="F3850">
            <v>496.37</v>
          </cell>
        </row>
        <row r="3851">
          <cell r="D3851">
            <v>252422150108</v>
          </cell>
          <cell r="E3851" t="str">
            <v>ASSY BRACKET FRONT -RIGHT</v>
          </cell>
          <cell r="F3851">
            <v>113.45</v>
          </cell>
        </row>
        <row r="3852">
          <cell r="D3852">
            <v>215389110103</v>
          </cell>
          <cell r="E3852" t="str">
            <v>BRACKET ASSY,MUDGUARD MTG,LH</v>
          </cell>
          <cell r="F3852">
            <v>711.39</v>
          </cell>
        </row>
        <row r="3853">
          <cell r="D3853">
            <v>253414110184</v>
          </cell>
          <cell r="E3853" t="str">
            <v>ASSY. BRACKET(VACUUM MODULATOR)(B)</v>
          </cell>
          <cell r="F3853">
            <v>100.12</v>
          </cell>
        </row>
        <row r="3854">
          <cell r="D3854">
            <v>570601170127</v>
          </cell>
          <cell r="E3854" t="str">
            <v>DIPSTICK MTNG BKT ASSY(BUS)</v>
          </cell>
          <cell r="F3854">
            <v>10.87</v>
          </cell>
        </row>
        <row r="3855">
          <cell r="D3855">
            <v>252509140252</v>
          </cell>
          <cell r="E3855" t="str">
            <v>PROTECTIVE COVER ASSY</v>
          </cell>
          <cell r="F3855">
            <v>80.8</v>
          </cell>
        </row>
        <row r="3856">
          <cell r="D3856">
            <v>570620123310</v>
          </cell>
          <cell r="E3856" t="str">
            <v>CRIMP HOSE SUP.BKT(EGR TO WIE)</v>
          </cell>
          <cell r="F3856">
            <v>2.86</v>
          </cell>
        </row>
        <row r="3857">
          <cell r="D3857">
            <v>500426808202</v>
          </cell>
          <cell r="E3857" t="str">
            <v>L-BRACKET</v>
          </cell>
          <cell r="F3857">
            <v>20.66</v>
          </cell>
        </row>
        <row r="3858">
          <cell r="D3858">
            <v>264189100155</v>
          </cell>
          <cell r="E3858" t="str">
            <v>NUT PLATE ASSY,CAB MTG,FRONT</v>
          </cell>
          <cell r="F3858">
            <v>14.85</v>
          </cell>
        </row>
        <row r="3859">
          <cell r="D3859">
            <v>253420103301</v>
          </cell>
          <cell r="E3859" t="str">
            <v>CLAMP (COOLANT LINE SIDE)</v>
          </cell>
          <cell r="F3859">
            <v>5.76</v>
          </cell>
        </row>
        <row r="3860">
          <cell r="D3860">
            <v>252709133339</v>
          </cell>
          <cell r="E3860" t="str">
            <v>ASSY. BRACKET ( AIR INTAKE PIPE SUPPORT)</v>
          </cell>
          <cell r="F3860">
            <v>496.37</v>
          </cell>
        </row>
        <row r="3861">
          <cell r="D3861">
            <v>269842700117</v>
          </cell>
          <cell r="E3861" t="str">
            <v>ASSY LEVER LH</v>
          </cell>
          <cell r="F3861">
            <v>259.17</v>
          </cell>
        </row>
        <row r="3862">
          <cell r="D3862">
            <v>517183753329</v>
          </cell>
          <cell r="E3862" t="str">
            <v>BRACKET</v>
          </cell>
          <cell r="F3862">
            <v>129.16</v>
          </cell>
        </row>
        <row r="3863">
          <cell r="D3863">
            <v>517183753327</v>
          </cell>
          <cell r="E3863" t="str">
            <v>BRACKET</v>
          </cell>
          <cell r="F3863">
            <v>130.88</v>
          </cell>
        </row>
        <row r="3864">
          <cell r="D3864">
            <v>517183750113</v>
          </cell>
          <cell r="E3864" t="str">
            <v>BRACKET ASSY,COMPRESSOR MTG</v>
          </cell>
          <cell r="F3864">
            <v>225.97</v>
          </cell>
        </row>
        <row r="3865">
          <cell r="D3865">
            <v>517180110229</v>
          </cell>
          <cell r="E3865" t="str">
            <v>BRACKET,CABLE SUPPORT</v>
          </cell>
          <cell r="F3865">
            <v>398.45</v>
          </cell>
        </row>
        <row r="3866">
          <cell r="D3866">
            <v>517180110228</v>
          </cell>
          <cell r="E3866" t="str">
            <v>BRACKET,CABLE SUPPORT</v>
          </cell>
          <cell r="F3866">
            <v>376.87</v>
          </cell>
        </row>
        <row r="3867">
          <cell r="D3867">
            <v>517180110204</v>
          </cell>
          <cell r="E3867" t="str">
            <v>BRACKET ASSY,CHARGER SOCKET</v>
          </cell>
          <cell r="F3867">
            <v>440.56</v>
          </cell>
        </row>
        <row r="3868">
          <cell r="D3868">
            <v>517180903370</v>
          </cell>
          <cell r="E3868" t="str">
            <v>BRACKET</v>
          </cell>
          <cell r="F3868">
            <v>439.61</v>
          </cell>
        </row>
        <row r="3869">
          <cell r="D3869">
            <v>517180900138</v>
          </cell>
          <cell r="E3869" t="str">
            <v>BRACKET ASSY</v>
          </cell>
          <cell r="F3869">
            <v>152.69999999999999</v>
          </cell>
        </row>
        <row r="3870">
          <cell r="D3870">
            <v>517180900136</v>
          </cell>
          <cell r="E3870" t="str">
            <v>BRACKET ASSY</v>
          </cell>
          <cell r="F3870">
            <v>397.54</v>
          </cell>
        </row>
        <row r="3871">
          <cell r="D3871">
            <v>585888200246</v>
          </cell>
          <cell r="E3871" t="str">
            <v>PIPE ASSY,REAR FENDER MTG,RH</v>
          </cell>
          <cell r="F3871">
            <v>325.27</v>
          </cell>
        </row>
        <row r="3872">
          <cell r="D3872">
            <v>585888200245</v>
          </cell>
          <cell r="E3872" t="str">
            <v>PIPE ASSY,REAR FENDER MTG,LH</v>
          </cell>
          <cell r="F3872">
            <v>325.27</v>
          </cell>
        </row>
        <row r="3873">
          <cell r="D3873">
            <v>585888200244</v>
          </cell>
          <cell r="E3873" t="str">
            <v>PIPE ASSY,REAR FEDNER MTG,RH</v>
          </cell>
          <cell r="F3873">
            <v>295.89</v>
          </cell>
        </row>
        <row r="3874">
          <cell r="D3874">
            <v>585888200243</v>
          </cell>
          <cell r="E3874" t="str">
            <v>PIPE ASSY,REAR FENDER MTG,LH</v>
          </cell>
          <cell r="F3874">
            <v>396.21</v>
          </cell>
        </row>
        <row r="3875">
          <cell r="D3875">
            <v>517154800103</v>
          </cell>
          <cell r="E3875" t="str">
            <v>BRACKET ASSY,VECU MTG</v>
          </cell>
          <cell r="F3875">
            <v>76.900000000000006</v>
          </cell>
        </row>
        <row r="3876">
          <cell r="D3876">
            <v>517154800104</v>
          </cell>
          <cell r="E3876" t="str">
            <v>BRACKET ASSY,AIR BAG ECU &amp; BCM MTG</v>
          </cell>
          <cell r="F3876">
            <v>44.56</v>
          </cell>
        </row>
        <row r="3877">
          <cell r="D3877">
            <v>517154700103</v>
          </cell>
          <cell r="E3877" t="str">
            <v>BRACKET ASSY,DATA LOGGER MTG</v>
          </cell>
          <cell r="F3877">
            <v>26.4</v>
          </cell>
        </row>
        <row r="3878">
          <cell r="D3878">
            <v>517131540121</v>
          </cell>
          <cell r="E3878" t="str">
            <v>BRACKET ASSY,CRADLE MTG</v>
          </cell>
          <cell r="F3878">
            <v>305.54000000000002</v>
          </cell>
        </row>
        <row r="3879">
          <cell r="D3879">
            <v>517183750124</v>
          </cell>
          <cell r="E3879" t="str">
            <v>CLAMP ASSY</v>
          </cell>
          <cell r="F3879">
            <v>25.7</v>
          </cell>
        </row>
        <row r="3880">
          <cell r="D3880">
            <v>517143703319</v>
          </cell>
          <cell r="E3880" t="str">
            <v>AIR DRYER ASSY WITH MTG BKT</v>
          </cell>
          <cell r="F3880">
            <v>75.83</v>
          </cell>
        </row>
        <row r="3881">
          <cell r="D3881">
            <v>570650110182</v>
          </cell>
          <cell r="E3881" t="str">
            <v>BRACKET ASSY,RADIATOR STAY ROD MTG</v>
          </cell>
          <cell r="F3881">
            <v>60.53</v>
          </cell>
        </row>
        <row r="3882">
          <cell r="D3882">
            <v>570650110181</v>
          </cell>
          <cell r="E3882" t="str">
            <v>BRACKET ASSY,RADIATOR STAY ROD MTG</v>
          </cell>
          <cell r="F3882">
            <v>60.53</v>
          </cell>
        </row>
        <row r="3883">
          <cell r="D3883">
            <v>886354000824</v>
          </cell>
          <cell r="E3883" t="str">
            <v>886354000824</v>
          </cell>
          <cell r="F3883">
            <v>1800</v>
          </cell>
        </row>
        <row r="3884">
          <cell r="D3884">
            <v>886360001827</v>
          </cell>
          <cell r="E3884" t="str">
            <v>886360001827</v>
          </cell>
          <cell r="F3884">
            <v>18200</v>
          </cell>
        </row>
        <row r="3885">
          <cell r="D3885">
            <v>886360001828</v>
          </cell>
          <cell r="E3885" t="str">
            <v>886360001828</v>
          </cell>
          <cell r="F3885">
            <v>4900</v>
          </cell>
        </row>
        <row r="3886">
          <cell r="D3886">
            <v>886360001823</v>
          </cell>
          <cell r="E3886" t="str">
            <v>886360001823</v>
          </cell>
          <cell r="F3886">
            <v>480</v>
          </cell>
        </row>
        <row r="3887">
          <cell r="D3887">
            <v>886360001829</v>
          </cell>
          <cell r="E3887" t="str">
            <v>886360001829</v>
          </cell>
          <cell r="F3887">
            <v>8500</v>
          </cell>
        </row>
        <row r="3888">
          <cell r="D3888" t="str">
            <v>55556260M10114</v>
          </cell>
          <cell r="E3888" t="str">
            <v>BRACKET ASSY,WHEEL BOX MTG</v>
          </cell>
          <cell r="F3888">
            <v>24.75</v>
          </cell>
        </row>
        <row r="3889">
          <cell r="D3889" t="str">
            <v>55556260M10127</v>
          </cell>
          <cell r="E3889" t="str">
            <v>BRACKET ASSY,WHEEL BOX MTG,LH</v>
          </cell>
          <cell r="F3889">
            <v>31.9</v>
          </cell>
        </row>
        <row r="3890">
          <cell r="D3890">
            <v>886370000622</v>
          </cell>
          <cell r="E3890" t="str">
            <v>886370000622</v>
          </cell>
          <cell r="F3890">
            <v>5500</v>
          </cell>
        </row>
        <row r="3891">
          <cell r="D3891">
            <v>886354000773</v>
          </cell>
          <cell r="E3891" t="str">
            <v>BAR LIGHT BS6-PH2</v>
          </cell>
          <cell r="F3891">
            <v>21500</v>
          </cell>
        </row>
        <row r="3892">
          <cell r="D3892">
            <v>264749200171</v>
          </cell>
          <cell r="E3892" t="str">
            <v>COVER ASSY</v>
          </cell>
          <cell r="F3892">
            <v>408.98</v>
          </cell>
        </row>
        <row r="3893">
          <cell r="D3893">
            <v>886360001655</v>
          </cell>
          <cell r="E3893" t="str">
            <v>AMBULANCE NAME SIDE WALL BS6-PH2</v>
          </cell>
          <cell r="F3893">
            <v>1112.5</v>
          </cell>
        </row>
        <row r="3894">
          <cell r="D3894">
            <v>886360001656</v>
          </cell>
          <cell r="E3894" t="str">
            <v>PATIENT TRANSPORT NAME SIDE WALL BS6-PH2</v>
          </cell>
          <cell r="F3894">
            <v>662.5</v>
          </cell>
        </row>
        <row r="3895">
          <cell r="D3895">
            <v>886360001658</v>
          </cell>
          <cell r="E3895" t="str">
            <v>SQUARE DECAL 225X225 BS6-PH2</v>
          </cell>
          <cell r="F3895">
            <v>312.5</v>
          </cell>
        </row>
        <row r="3896">
          <cell r="D3896">
            <v>886360001659</v>
          </cell>
          <cell r="E3896" t="str">
            <v>SIDE WALL EMERGENCY LOGO BS6-PH2</v>
          </cell>
          <cell r="F3896">
            <v>812.5</v>
          </cell>
        </row>
        <row r="3897">
          <cell r="D3897">
            <v>886360001660</v>
          </cell>
          <cell r="E3897" t="str">
            <v>SIDE WALL RECTANGULAR DECAL BS6-PH2</v>
          </cell>
          <cell r="F3897">
            <v>981.25</v>
          </cell>
        </row>
        <row r="3898">
          <cell r="D3898">
            <v>886360001661</v>
          </cell>
          <cell r="E3898" t="str">
            <v>LH SIDE UPPER DECAL 225X482 BS6-PH2</v>
          </cell>
          <cell r="F3898">
            <v>700</v>
          </cell>
        </row>
        <row r="3899">
          <cell r="D3899">
            <v>886360001662</v>
          </cell>
          <cell r="E3899" t="str">
            <v>LH DOOR UPPER DECAL 225X1090 BS6-PH2</v>
          </cell>
          <cell r="F3899">
            <v>1400</v>
          </cell>
        </row>
        <row r="3900">
          <cell r="D3900">
            <v>886360001663</v>
          </cell>
          <cell r="E3900" t="str">
            <v>LH SIDE DECAL 225X482 BS6-PH2</v>
          </cell>
          <cell r="F3900">
            <v>806.25</v>
          </cell>
        </row>
        <row r="3901">
          <cell r="D3901">
            <v>886360001664</v>
          </cell>
          <cell r="E3901" t="str">
            <v>LH DOOR LOWER DECAL 225X1090 BS6-PH2</v>
          </cell>
          <cell r="F3901">
            <v>1372.5</v>
          </cell>
        </row>
        <row r="3902">
          <cell r="D3902">
            <v>886360001665</v>
          </cell>
          <cell r="E3902" t="str">
            <v>LH DOOR CROSS MEMBER DECAL BS6-PH2</v>
          </cell>
          <cell r="F3902">
            <v>247.5</v>
          </cell>
        </row>
        <row r="3903">
          <cell r="D3903">
            <v>886360001667</v>
          </cell>
          <cell r="E3903" t="str">
            <v>RH SIDE UPPER DECAL 225X482 BS6-PH2</v>
          </cell>
          <cell r="F3903">
            <v>700</v>
          </cell>
        </row>
        <row r="3904">
          <cell r="D3904">
            <v>886360001668</v>
          </cell>
          <cell r="E3904" t="str">
            <v>RH DOOR UPPER DECAL 225X1090 BS6-PH2</v>
          </cell>
          <cell r="F3904">
            <v>1400</v>
          </cell>
        </row>
        <row r="3905">
          <cell r="D3905">
            <v>886360001669</v>
          </cell>
          <cell r="E3905" t="str">
            <v>RH SIDE LOWER DECAL 225X482 BS6-PH2</v>
          </cell>
          <cell r="F3905">
            <v>806.25</v>
          </cell>
        </row>
        <row r="3906">
          <cell r="D3906">
            <v>886360001670</v>
          </cell>
          <cell r="E3906" t="str">
            <v>RH DOOR LOWER DECAL 225X1090 BS6-PH2</v>
          </cell>
          <cell r="F3906">
            <v>1372.5</v>
          </cell>
        </row>
        <row r="3907">
          <cell r="D3907">
            <v>886360001672</v>
          </cell>
          <cell r="E3907" t="str">
            <v>TRANSFERENT FILM SIDE WINDOW BS6-PH2</v>
          </cell>
          <cell r="F3907">
            <v>562.5</v>
          </cell>
        </row>
        <row r="3908">
          <cell r="D3908">
            <v>886360001673</v>
          </cell>
          <cell r="E3908" t="str">
            <v>RECTANGULAR DECAL 100X30 BS6-PH2</v>
          </cell>
          <cell r="F3908">
            <v>22.5</v>
          </cell>
        </row>
        <row r="3909">
          <cell r="D3909">
            <v>222970130150</v>
          </cell>
          <cell r="E3909" t="str">
            <v>SUPD ASSY,RH</v>
          </cell>
          <cell r="F3909">
            <v>1715.83</v>
          </cell>
        </row>
        <row r="3910">
          <cell r="D3910">
            <v>570601173342</v>
          </cell>
          <cell r="E3910" t="str">
            <v>BRACKET,OIL MIST SEPARATOR MTG</v>
          </cell>
          <cell r="F3910">
            <v>13.17</v>
          </cell>
        </row>
        <row r="3911">
          <cell r="D3911">
            <v>550749213337</v>
          </cell>
          <cell r="E3911" t="str">
            <v>BRACKET,CATCON MTG</v>
          </cell>
          <cell r="F3911">
            <v>120.9</v>
          </cell>
        </row>
        <row r="3912">
          <cell r="D3912">
            <v>550749213335</v>
          </cell>
          <cell r="E3912" t="str">
            <v>BRACKET,SILENCER MTG</v>
          </cell>
          <cell r="F3912">
            <v>161.56</v>
          </cell>
        </row>
        <row r="3913">
          <cell r="D3913">
            <v>550749213333</v>
          </cell>
          <cell r="E3913" t="str">
            <v>BRACKET,SILENCER MTG</v>
          </cell>
          <cell r="F3913">
            <v>89.12</v>
          </cell>
        </row>
        <row r="3914">
          <cell r="D3914">
            <v>550749213339</v>
          </cell>
          <cell r="E3914" t="str">
            <v>BRACKET,FRONT PIPE MTG</v>
          </cell>
          <cell r="F3914">
            <v>165.31</v>
          </cell>
        </row>
        <row r="3915">
          <cell r="D3915">
            <v>550749213334</v>
          </cell>
          <cell r="E3915" t="str">
            <v>BRACKET,CATCON MTG</v>
          </cell>
          <cell r="F3915">
            <v>106.84</v>
          </cell>
        </row>
        <row r="3916">
          <cell r="D3916">
            <v>570914118210</v>
          </cell>
          <cell r="E3916" t="str">
            <v>SUPPORT BRACKET,EXHAUST ELBOW</v>
          </cell>
          <cell r="F3916">
            <v>14.21</v>
          </cell>
        </row>
        <row r="3917">
          <cell r="D3917">
            <v>585726830105</v>
          </cell>
          <cell r="E3917" t="str">
            <v>HOOK ASSY WITH BRACKET</v>
          </cell>
          <cell r="F3917">
            <v>15.52</v>
          </cell>
        </row>
        <row r="3918">
          <cell r="D3918">
            <v>550631700123</v>
          </cell>
          <cell r="E3918" t="str">
            <v>BEAM ASSY,RUPD</v>
          </cell>
          <cell r="F3918">
            <v>1473.55</v>
          </cell>
        </row>
        <row r="3919">
          <cell r="D3919">
            <v>252722107128</v>
          </cell>
          <cell r="E3919" t="str">
            <v>LIFTING HOOK .</v>
          </cell>
          <cell r="F3919">
            <v>90.42</v>
          </cell>
        </row>
        <row r="3920">
          <cell r="D3920">
            <v>570903118201</v>
          </cell>
          <cell r="E3920" t="str">
            <v>COVER,FLYWHEEL HOUSING (TDC)</v>
          </cell>
          <cell r="F3920">
            <v>3.67</v>
          </cell>
        </row>
        <row r="3921">
          <cell r="D3921">
            <v>570918153302</v>
          </cell>
          <cell r="E3921" t="str">
            <v>FLANGE,OIL PUMP STRAINER</v>
          </cell>
          <cell r="F3921">
            <v>10.65</v>
          </cell>
        </row>
        <row r="3922">
          <cell r="D3922">
            <v>570922128201</v>
          </cell>
          <cell r="E3922" t="str">
            <v>ENGINE LIFTING HOOK,CYL HEAD,FRONT</v>
          </cell>
          <cell r="F3922">
            <v>58.41</v>
          </cell>
        </row>
        <row r="3923">
          <cell r="D3923">
            <v>252422150108</v>
          </cell>
          <cell r="E3923" t="str">
            <v>ASSY BRACKET FRONT -RIGHT</v>
          </cell>
          <cell r="F3923">
            <v>116.62</v>
          </cell>
        </row>
        <row r="3924">
          <cell r="D3924">
            <v>252422150109</v>
          </cell>
          <cell r="E3924" t="str">
            <v>ASSY BRACKET FRONT-LEFT</v>
          </cell>
          <cell r="F3924">
            <v>261.95999999999998</v>
          </cell>
        </row>
        <row r="3925">
          <cell r="D3925">
            <v>252701170170</v>
          </cell>
          <cell r="E3925" t="str">
            <v>ASSY BKT DIPSTIC MTG :LPT 709 TC IC</v>
          </cell>
          <cell r="F3925">
            <v>62.95</v>
          </cell>
        </row>
        <row r="3926">
          <cell r="D3926">
            <v>252322107101</v>
          </cell>
          <cell r="E3926" t="str">
            <v>LIFTING HOOK FRONT</v>
          </cell>
          <cell r="F3926">
            <v>62.13</v>
          </cell>
        </row>
        <row r="3927">
          <cell r="D3927">
            <v>252513137101</v>
          </cell>
          <cell r="E3927" t="str">
            <v>FLANGE,AIR COMPRESSOR</v>
          </cell>
          <cell r="F3927">
            <v>52.63</v>
          </cell>
        </row>
        <row r="3928">
          <cell r="D3928">
            <v>252722107104</v>
          </cell>
          <cell r="E3928" t="str">
            <v>LIFTING HOOK FRONT</v>
          </cell>
          <cell r="F3928">
            <v>30.2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"/>
  <sheetViews>
    <sheetView tabSelected="1" topLeftCell="D4" workbookViewId="0">
      <selection activeCell="J12" sqref="J12"/>
    </sheetView>
  </sheetViews>
  <sheetFormatPr defaultRowHeight="15" x14ac:dyDescent="0.25"/>
  <cols>
    <col min="2" max="2" width="11.85546875" customWidth="1"/>
    <col min="3" max="3" width="16.42578125" customWidth="1"/>
    <col min="4" max="4" width="24.28515625" customWidth="1"/>
    <col min="5" max="5" width="30.140625" customWidth="1"/>
    <col min="6" max="6" width="29.85546875" customWidth="1"/>
    <col min="7" max="7" width="19.42578125" customWidth="1"/>
    <col min="8" max="8" width="19" customWidth="1"/>
    <col min="9" max="9" width="17.7109375" customWidth="1"/>
    <col min="10" max="10" width="16.85546875" customWidth="1"/>
    <col min="11" max="11" width="12.140625" customWidth="1"/>
    <col min="12" max="12" width="20" customWidth="1"/>
    <col min="13" max="13" width="18" customWidth="1"/>
    <col min="14" max="14" width="18.85546875" customWidth="1"/>
    <col min="15" max="15" width="21.85546875" bestFit="1" customWidth="1"/>
    <col min="16" max="16" width="18.140625" customWidth="1"/>
    <col min="17" max="17" width="16.5703125" customWidth="1"/>
  </cols>
  <sheetData>
    <row r="1" spans="1:17" ht="21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106</v>
      </c>
      <c r="F1" s="11" t="s">
        <v>4</v>
      </c>
      <c r="G1" s="11" t="s">
        <v>112</v>
      </c>
      <c r="H1" s="11" t="s">
        <v>115</v>
      </c>
      <c r="I1" s="11" t="s">
        <v>107</v>
      </c>
      <c r="J1" s="13" t="s">
        <v>108</v>
      </c>
      <c r="K1" s="11" t="s">
        <v>109</v>
      </c>
      <c r="L1" s="13" t="s">
        <v>110</v>
      </c>
      <c r="M1" s="11" t="s">
        <v>111</v>
      </c>
      <c r="N1" s="11" t="s">
        <v>5</v>
      </c>
      <c r="O1" s="11" t="s">
        <v>6</v>
      </c>
      <c r="P1" s="11" t="s">
        <v>7</v>
      </c>
      <c r="Q1" s="11" t="s">
        <v>8</v>
      </c>
    </row>
    <row r="2" spans="1:17" ht="21.6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4"/>
      <c r="K2" s="12"/>
      <c r="L2" s="14"/>
      <c r="M2" s="12"/>
      <c r="N2" s="12"/>
      <c r="O2" s="12"/>
      <c r="P2" s="12"/>
      <c r="Q2" s="12"/>
    </row>
    <row r="3" spans="1:17" ht="27" customHeight="1" x14ac:dyDescent="0.25">
      <c r="A3" s="4">
        <v>1</v>
      </c>
      <c r="B3" s="15">
        <v>46235</v>
      </c>
      <c r="C3" s="16">
        <v>278601174213</v>
      </c>
      <c r="D3" s="17" t="s">
        <v>117</v>
      </c>
      <c r="E3" s="6" t="s">
        <v>41</v>
      </c>
      <c r="F3" s="17" t="s">
        <v>127</v>
      </c>
      <c r="G3" s="18">
        <v>3</v>
      </c>
      <c r="H3" s="5">
        <v>4365</v>
      </c>
      <c r="I3" s="9">
        <v>2.78</v>
      </c>
      <c r="J3" s="5">
        <f>G3*I3</f>
        <v>8.34</v>
      </c>
      <c r="K3" s="5">
        <v>0</v>
      </c>
      <c r="L3" s="5">
        <f>SUM(J3:K3)</f>
        <v>8.34</v>
      </c>
      <c r="M3" s="8" t="s">
        <v>137</v>
      </c>
      <c r="N3" s="8" t="s">
        <v>137</v>
      </c>
      <c r="O3" s="8" t="s">
        <v>141</v>
      </c>
      <c r="P3" s="8"/>
      <c r="Q3" s="4" t="s">
        <v>116</v>
      </c>
    </row>
    <row r="4" spans="1:17" ht="27" customHeight="1" x14ac:dyDescent="0.25">
      <c r="A4" s="4">
        <v>2</v>
      </c>
      <c r="B4" s="15">
        <v>46252</v>
      </c>
      <c r="C4" s="16">
        <v>285526200134</v>
      </c>
      <c r="D4" s="17" t="s">
        <v>118</v>
      </c>
      <c r="E4" s="6" t="s">
        <v>94</v>
      </c>
      <c r="F4" s="17" t="s">
        <v>128</v>
      </c>
      <c r="G4" s="18">
        <v>3</v>
      </c>
      <c r="H4" s="5">
        <v>1676</v>
      </c>
      <c r="I4" s="9">
        <f>VLOOKUP(C4,[1]Sheet1!$D$2:$F$3928,3,0)</f>
        <v>591.14</v>
      </c>
      <c r="J4" s="5">
        <f t="shared" ref="J4:J5" si="0">G4*I4</f>
        <v>1773.42</v>
      </c>
      <c r="K4" s="5">
        <v>0</v>
      </c>
      <c r="L4" s="5">
        <f t="shared" ref="L4" si="1">SUM(J4:K4)</f>
        <v>1773.42</v>
      </c>
      <c r="M4" s="8" t="s">
        <v>138</v>
      </c>
      <c r="N4" s="8" t="s">
        <v>138</v>
      </c>
      <c r="O4" s="8" t="s">
        <v>142</v>
      </c>
      <c r="P4" s="8"/>
      <c r="Q4" s="4" t="s">
        <v>116</v>
      </c>
    </row>
    <row r="5" spans="1:17" ht="30" x14ac:dyDescent="0.25">
      <c r="A5" s="10">
        <v>3</v>
      </c>
      <c r="B5" s="15">
        <v>46235</v>
      </c>
      <c r="C5" s="16">
        <v>269126820109</v>
      </c>
      <c r="D5" s="17" t="s">
        <v>119</v>
      </c>
      <c r="E5" s="6" t="s">
        <v>54</v>
      </c>
      <c r="F5" s="17" t="s">
        <v>129</v>
      </c>
      <c r="G5" s="18">
        <v>3</v>
      </c>
      <c r="H5" s="5">
        <v>10680</v>
      </c>
      <c r="I5" s="9">
        <f>VLOOKUP(C5,[1]Sheet1!$D$2:$F$3928,3,0)</f>
        <v>67.7</v>
      </c>
      <c r="J5" s="5">
        <f t="shared" si="0"/>
        <v>203.10000000000002</v>
      </c>
      <c r="K5" s="5">
        <v>0</v>
      </c>
      <c r="L5" s="5">
        <f t="shared" ref="L5" si="2">SUM(J5:K5)</f>
        <v>203.10000000000002</v>
      </c>
      <c r="M5" s="8" t="s">
        <v>11</v>
      </c>
      <c r="N5" s="8" t="s">
        <v>11</v>
      </c>
      <c r="O5" s="8" t="s">
        <v>143</v>
      </c>
      <c r="P5" s="8"/>
      <c r="Q5" s="4" t="s">
        <v>116</v>
      </c>
    </row>
    <row r="6" spans="1:17" ht="27" customHeight="1" x14ac:dyDescent="0.25">
      <c r="A6" s="4">
        <v>1</v>
      </c>
      <c r="B6" s="15">
        <v>46241</v>
      </c>
      <c r="C6" s="16">
        <v>284569500122</v>
      </c>
      <c r="D6" s="17" t="s">
        <v>120</v>
      </c>
      <c r="E6" s="6" t="s">
        <v>99</v>
      </c>
      <c r="F6" s="17" t="s">
        <v>130</v>
      </c>
      <c r="G6" s="18">
        <v>3</v>
      </c>
      <c r="H6" s="5">
        <v>250</v>
      </c>
      <c r="I6" s="9">
        <f>VLOOKUP(C6,[1]Sheet1!$D$2:$F$3928,3,0)</f>
        <v>57.72</v>
      </c>
      <c r="J6" s="5">
        <f>G6*I6</f>
        <v>173.16</v>
      </c>
      <c r="K6" s="5">
        <v>0</v>
      </c>
      <c r="L6" s="5">
        <f>SUM(J6:K6)</f>
        <v>173.16</v>
      </c>
      <c r="M6" s="8" t="s">
        <v>139</v>
      </c>
      <c r="N6" s="8" t="s">
        <v>139</v>
      </c>
      <c r="O6" s="8" t="s">
        <v>144</v>
      </c>
      <c r="P6" s="8"/>
      <c r="Q6" s="4" t="s">
        <v>116</v>
      </c>
    </row>
    <row r="7" spans="1:17" ht="27" customHeight="1" x14ac:dyDescent="0.25">
      <c r="A7" s="4">
        <v>2</v>
      </c>
      <c r="B7" s="15">
        <v>46245</v>
      </c>
      <c r="C7" s="16">
        <v>570601170197</v>
      </c>
      <c r="D7" s="17" t="s">
        <v>121</v>
      </c>
      <c r="E7" s="6" t="s">
        <v>41</v>
      </c>
      <c r="F7" s="17" t="s">
        <v>131</v>
      </c>
      <c r="G7" s="18">
        <v>2</v>
      </c>
      <c r="H7" s="5">
        <v>50</v>
      </c>
      <c r="I7" s="9">
        <f>VLOOKUP(C7,[1]Sheet1!$D$2:$F$3928,3,0)</f>
        <v>49.51</v>
      </c>
      <c r="J7" s="5">
        <f t="shared" ref="J7:J9" si="3">G7*I7</f>
        <v>99.02</v>
      </c>
      <c r="K7" s="5">
        <v>0</v>
      </c>
      <c r="L7" s="5">
        <f t="shared" ref="L7:L9" si="4">SUM(J7:K7)</f>
        <v>99.02</v>
      </c>
      <c r="M7" s="8" t="s">
        <v>138</v>
      </c>
      <c r="N7" s="8" t="s">
        <v>138</v>
      </c>
      <c r="O7" s="8" t="s">
        <v>143</v>
      </c>
      <c r="P7" s="8"/>
      <c r="Q7" s="4" t="s">
        <v>116</v>
      </c>
    </row>
    <row r="8" spans="1:17" ht="30" x14ac:dyDescent="0.25">
      <c r="A8" s="10">
        <v>3</v>
      </c>
      <c r="B8" s="15">
        <v>46254</v>
      </c>
      <c r="C8" s="16">
        <v>555066400101</v>
      </c>
      <c r="D8" s="17" t="s">
        <v>122</v>
      </c>
      <c r="E8" s="6" t="s">
        <v>93</v>
      </c>
      <c r="F8" s="17" t="s">
        <v>132</v>
      </c>
      <c r="G8" s="18">
        <v>1</v>
      </c>
      <c r="H8" s="5">
        <v>50</v>
      </c>
      <c r="I8" s="9">
        <f>VLOOKUP(C8,[1]Sheet1!$D$2:$F$3928,3,0)</f>
        <v>1413.91</v>
      </c>
      <c r="J8" s="5">
        <f t="shared" si="3"/>
        <v>1413.91</v>
      </c>
      <c r="K8" s="5">
        <v>0</v>
      </c>
      <c r="L8" s="5">
        <f t="shared" si="4"/>
        <v>1413.91</v>
      </c>
      <c r="M8" s="8" t="s">
        <v>138</v>
      </c>
      <c r="N8" s="8" t="s">
        <v>138</v>
      </c>
      <c r="O8" s="8" t="s">
        <v>144</v>
      </c>
      <c r="P8" s="8"/>
      <c r="Q8" s="4" t="s">
        <v>116</v>
      </c>
    </row>
    <row r="9" spans="1:17" ht="30" x14ac:dyDescent="0.25">
      <c r="A9" s="10">
        <v>3</v>
      </c>
      <c r="B9" s="15">
        <v>46258</v>
      </c>
      <c r="C9" s="16">
        <v>554729500101</v>
      </c>
      <c r="D9" s="17" t="s">
        <v>123</v>
      </c>
      <c r="E9" s="6" t="s">
        <v>113</v>
      </c>
      <c r="F9" s="17" t="s">
        <v>133</v>
      </c>
      <c r="G9" s="18">
        <v>1</v>
      </c>
      <c r="H9" s="5">
        <v>2356</v>
      </c>
      <c r="I9" s="9">
        <f>VLOOKUP(C9,[1]Sheet1!$D$2:$F$3928,3,0)</f>
        <v>307.17</v>
      </c>
      <c r="J9" s="5">
        <f t="shared" si="3"/>
        <v>307.17</v>
      </c>
      <c r="K9" s="5">
        <v>0</v>
      </c>
      <c r="L9" s="5">
        <f t="shared" si="4"/>
        <v>307.17</v>
      </c>
      <c r="M9" s="8" t="s">
        <v>140</v>
      </c>
      <c r="N9" s="8" t="s">
        <v>140</v>
      </c>
      <c r="O9" s="8" t="s">
        <v>145</v>
      </c>
      <c r="P9" s="8"/>
      <c r="Q9" s="4" t="s">
        <v>116</v>
      </c>
    </row>
    <row r="10" spans="1:17" ht="27" customHeight="1" x14ac:dyDescent="0.25">
      <c r="A10" s="4">
        <v>1</v>
      </c>
      <c r="B10" s="15">
        <v>46251</v>
      </c>
      <c r="C10" s="16">
        <v>585860100130</v>
      </c>
      <c r="D10" s="17" t="s">
        <v>124</v>
      </c>
      <c r="E10" s="6" t="s">
        <v>105</v>
      </c>
      <c r="F10" s="17" t="s">
        <v>134</v>
      </c>
      <c r="G10" s="18">
        <v>1</v>
      </c>
      <c r="H10" s="5">
        <v>2990</v>
      </c>
      <c r="I10" s="9">
        <f>VLOOKUP(C10,[1]Sheet1!$D$2:$F$3928,3,0)</f>
        <v>68.260000000000005</v>
      </c>
      <c r="J10" s="5">
        <f>G10*I10</f>
        <v>68.260000000000005</v>
      </c>
      <c r="K10" s="5">
        <v>0</v>
      </c>
      <c r="L10" s="5">
        <f>SUM(J10:K10)</f>
        <v>68.260000000000005</v>
      </c>
      <c r="M10" s="8" t="s">
        <v>138</v>
      </c>
      <c r="N10" s="8" t="s">
        <v>138</v>
      </c>
      <c r="O10" s="8" t="s">
        <v>141</v>
      </c>
      <c r="P10" s="8"/>
      <c r="Q10" s="4" t="s">
        <v>116</v>
      </c>
    </row>
    <row r="11" spans="1:17" ht="27" customHeight="1" x14ac:dyDescent="0.25">
      <c r="A11" s="4">
        <v>2</v>
      </c>
      <c r="B11" s="15">
        <v>46256</v>
      </c>
      <c r="C11" s="16">
        <v>253423400139</v>
      </c>
      <c r="D11" s="17" t="s">
        <v>125</v>
      </c>
      <c r="E11" s="6" t="s">
        <v>34</v>
      </c>
      <c r="F11" s="17" t="s">
        <v>135</v>
      </c>
      <c r="G11" s="18">
        <v>1</v>
      </c>
      <c r="H11" s="5">
        <v>75</v>
      </c>
      <c r="I11" s="9">
        <f>VLOOKUP(C11,[1]Sheet1!$D$2:$F$3928,3,0)</f>
        <v>567.98</v>
      </c>
      <c r="J11" s="5">
        <f t="shared" ref="J11:J12" si="5">G11*I11</f>
        <v>567.98</v>
      </c>
      <c r="K11" s="5">
        <v>0</v>
      </c>
      <c r="L11" s="5">
        <f t="shared" ref="L11:L12" si="6">SUM(J11:K11)</f>
        <v>567.98</v>
      </c>
      <c r="M11" s="8" t="s">
        <v>140</v>
      </c>
      <c r="N11" s="8" t="s">
        <v>140</v>
      </c>
      <c r="O11" s="8" t="s">
        <v>143</v>
      </c>
      <c r="P11" s="8"/>
      <c r="Q11" s="4" t="s">
        <v>116</v>
      </c>
    </row>
    <row r="12" spans="1:17" ht="30" x14ac:dyDescent="0.25">
      <c r="A12" s="10">
        <v>3</v>
      </c>
      <c r="B12" s="15">
        <v>46237</v>
      </c>
      <c r="C12" s="16">
        <v>219029100122</v>
      </c>
      <c r="D12" s="17" t="s">
        <v>126</v>
      </c>
      <c r="E12" s="6" t="s">
        <v>64</v>
      </c>
      <c r="F12" s="17" t="s">
        <v>136</v>
      </c>
      <c r="G12" s="18">
        <v>1</v>
      </c>
      <c r="H12" s="5">
        <v>3867</v>
      </c>
      <c r="I12" s="9">
        <f>VLOOKUP(C12,[1]Sheet1!$D$2:$F$3928,3,0)</f>
        <v>209.44</v>
      </c>
      <c r="J12" s="5">
        <f t="shared" si="5"/>
        <v>209.44</v>
      </c>
      <c r="K12" s="5">
        <v>0</v>
      </c>
      <c r="L12" s="5">
        <f t="shared" si="6"/>
        <v>209.44</v>
      </c>
      <c r="M12" s="8" t="s">
        <v>138</v>
      </c>
      <c r="N12" s="8" t="s">
        <v>138</v>
      </c>
      <c r="O12" s="8" t="s">
        <v>146</v>
      </c>
      <c r="P12" s="8"/>
      <c r="Q12" s="4" t="s">
        <v>116</v>
      </c>
    </row>
    <row r="13" spans="1:17" x14ac:dyDescent="0.25">
      <c r="J13" s="7">
        <f>SUM(J3:J5)</f>
        <v>1984.8600000000001</v>
      </c>
    </row>
  </sheetData>
  <autoFilter ref="A1:Q3" xr:uid="{00000000-0001-0000-0000-000000000000}"/>
  <mergeCells count="17">
    <mergeCell ref="A1:A2"/>
    <mergeCell ref="B1:B2"/>
    <mergeCell ref="C1:C2"/>
    <mergeCell ref="D1:D2"/>
    <mergeCell ref="M1:M2"/>
    <mergeCell ref="E1:E2"/>
    <mergeCell ref="F1:F2"/>
    <mergeCell ref="G1:G2"/>
    <mergeCell ref="H1:H2"/>
    <mergeCell ref="I1:I2"/>
    <mergeCell ref="N1:N2"/>
    <mergeCell ref="O1:O2"/>
    <mergeCell ref="P1:P2"/>
    <mergeCell ref="Q1:Q2"/>
    <mergeCell ref="J1:J2"/>
    <mergeCell ref="L1:L2"/>
    <mergeCell ref="K1:K2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C2D990-B6F1-4423-8DC8-786AC6F17296}">
          <x14:formula1>
            <xm:f>Defects!$C:$C</xm:f>
          </x14:formula1>
          <xm:sqref>E3:E12</xm:sqref>
        </x14:dataValidation>
        <x14:dataValidation type="list" allowBlank="1" showInputMessage="1" showErrorMessage="1" xr:uid="{E0B3BF4B-6BBD-4C24-A611-67DE163B3152}">
          <x14:formula1>
            <xm:f>Process!$C:$C</xm:f>
          </x14:formula1>
          <xm:sqref>M3:N12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8BCB-247A-43B9-A645-693EACA6AA43}">
  <dimension ref="A1:C95"/>
  <sheetViews>
    <sheetView workbookViewId="0">
      <selection activeCell="C1" sqref="C1"/>
    </sheetView>
  </sheetViews>
  <sheetFormatPr defaultRowHeight="15" x14ac:dyDescent="0.25"/>
  <cols>
    <col min="1" max="1" width="36.28515625" bestFit="1" customWidth="1"/>
    <col min="3" max="3" width="30.28515625" bestFit="1" customWidth="1"/>
  </cols>
  <sheetData>
    <row r="1" spans="1:3" x14ac:dyDescent="0.25">
      <c r="A1" s="1" t="s">
        <v>15</v>
      </c>
      <c r="C1" t="str" cm="1">
        <f t="array" ref="C1:C93">_xlfn._xlws.SORT(_xlfn._xlws.FILTER(A:A, A:A&lt;&gt;""),1,1)</f>
        <v>Adhesion Fail</v>
      </c>
    </row>
    <row r="2" spans="1:3" x14ac:dyDescent="0.25">
      <c r="A2" s="1" t="s">
        <v>16</v>
      </c>
      <c r="C2" t="str">
        <v>Angle Not OK</v>
      </c>
    </row>
    <row r="3" spans="1:3" x14ac:dyDescent="0.25">
      <c r="A3" s="1" t="s">
        <v>17</v>
      </c>
      <c r="C3" t="str">
        <v>Bkt missing</v>
      </c>
    </row>
    <row r="4" spans="1:3" x14ac:dyDescent="0.25">
      <c r="A4" s="1" t="s">
        <v>18</v>
      </c>
      <c r="C4" t="str">
        <v>Blank Burr</v>
      </c>
    </row>
    <row r="5" spans="1:3" x14ac:dyDescent="0.25">
      <c r="A5" s="1" t="s">
        <v>19</v>
      </c>
      <c r="C5" t="str">
        <v>Blank Cut</v>
      </c>
    </row>
    <row r="6" spans="1:3" x14ac:dyDescent="0.25">
      <c r="A6" s="1" t="s">
        <v>20</v>
      </c>
      <c r="C6" t="str">
        <v>Blistering</v>
      </c>
    </row>
    <row r="7" spans="1:3" x14ac:dyDescent="0.25">
      <c r="A7" s="1" t="s">
        <v>21</v>
      </c>
      <c r="C7" t="str">
        <v>Blow Hole</v>
      </c>
    </row>
    <row r="8" spans="1:3" x14ac:dyDescent="0.25">
      <c r="A8" s="1" t="s">
        <v>22</v>
      </c>
      <c r="C8" t="str">
        <v>Bubble mark</v>
      </c>
    </row>
    <row r="9" spans="1:3" x14ac:dyDescent="0.25">
      <c r="A9" s="1" t="s">
        <v>23</v>
      </c>
      <c r="C9" t="str">
        <v>Burr</v>
      </c>
    </row>
    <row r="10" spans="1:3" x14ac:dyDescent="0.25">
      <c r="A10" s="1" t="s">
        <v>24</v>
      </c>
      <c r="C10" t="str">
        <v>Coating Damage</v>
      </c>
    </row>
    <row r="11" spans="1:3" x14ac:dyDescent="0.25">
      <c r="A11" s="1" t="s">
        <v>25</v>
      </c>
      <c r="C11" t="str">
        <v>Corner Cut</v>
      </c>
    </row>
    <row r="12" spans="1:3" x14ac:dyDescent="0.25">
      <c r="A12" s="1" t="s">
        <v>26</v>
      </c>
      <c r="C12" t="str">
        <v>Crack</v>
      </c>
    </row>
    <row r="13" spans="1:3" x14ac:dyDescent="0.25">
      <c r="A13" s="1" t="s">
        <v>27</v>
      </c>
      <c r="C13" t="str">
        <v>Crater Pipe</v>
      </c>
    </row>
    <row r="14" spans="1:3" x14ac:dyDescent="0.25">
      <c r="A14" s="1" t="s">
        <v>28</v>
      </c>
      <c r="C14" t="str">
        <v>Deep Spot</v>
      </c>
    </row>
    <row r="15" spans="1:3" x14ac:dyDescent="0.25">
      <c r="A15" s="1" t="s">
        <v>29</v>
      </c>
      <c r="C15" t="str">
        <v>Defective loose parts </v>
      </c>
    </row>
    <row r="16" spans="1:3" x14ac:dyDescent="0.25">
      <c r="A16" s="1" t="s">
        <v>30</v>
      </c>
      <c r="C16" t="str">
        <v xml:space="preserve">Dent </v>
      </c>
    </row>
    <row r="17" spans="1:3" x14ac:dyDescent="0.25">
      <c r="A17" s="1" t="s">
        <v>31</v>
      </c>
      <c r="C17" t="str">
        <v>Development Rejection </v>
      </c>
    </row>
    <row r="18" spans="1:3" x14ac:dyDescent="0.25">
      <c r="A18" s="1" t="s">
        <v>32</v>
      </c>
      <c r="C18" t="str">
        <v>Dimension not ok</v>
      </c>
    </row>
    <row r="19" spans="1:3" x14ac:dyDescent="0.25">
      <c r="A19" s="1" t="s">
        <v>33</v>
      </c>
      <c r="C19" t="str">
        <v>Excess Back Penetration</v>
      </c>
    </row>
    <row r="20" spans="1:3" x14ac:dyDescent="0.25">
      <c r="A20" s="1" t="s">
        <v>34</v>
      </c>
      <c r="C20" t="str">
        <v xml:space="preserve">Excess powder </v>
      </c>
    </row>
    <row r="21" spans="1:3" x14ac:dyDescent="0.25">
      <c r="A21" s="1" t="s">
        <v>35</v>
      </c>
      <c r="C21" t="str">
        <v xml:space="preserve">Fitment Issue    </v>
      </c>
    </row>
    <row r="22" spans="1:3" x14ac:dyDescent="0.25">
      <c r="A22" s="1" t="s">
        <v>36</v>
      </c>
      <c r="C22" t="str">
        <v>Forming shift</v>
      </c>
    </row>
    <row r="23" spans="1:3" x14ac:dyDescent="0.25">
      <c r="A23" s="1" t="s">
        <v>37</v>
      </c>
      <c r="C23" t="str">
        <v>Forming Taper/coller open</v>
      </c>
    </row>
    <row r="24" spans="1:3" x14ac:dyDescent="0.25">
      <c r="A24" s="1" t="s">
        <v>38</v>
      </c>
      <c r="C24" t="str">
        <v xml:space="preserve">Fouling Issue  </v>
      </c>
    </row>
    <row r="25" spans="1:3" x14ac:dyDescent="0.25">
      <c r="A25" s="1" t="s">
        <v>39</v>
      </c>
      <c r="C25" t="str">
        <v>Hole burr</v>
      </c>
    </row>
    <row r="26" spans="1:3" x14ac:dyDescent="0.25">
      <c r="A26" s="1" t="s">
        <v>40</v>
      </c>
      <c r="C26" t="str">
        <v>Hole Concentricity</v>
      </c>
    </row>
    <row r="27" spans="1:3" x14ac:dyDescent="0.25">
      <c r="A27" s="1" t="s">
        <v>114</v>
      </c>
      <c r="C27" t="str">
        <v>Hole issue</v>
      </c>
    </row>
    <row r="28" spans="1:3" x14ac:dyDescent="0.25">
      <c r="A28" s="1" t="s">
        <v>41</v>
      </c>
      <c r="C28" t="str">
        <v xml:space="preserve">Hole Mismatch </v>
      </c>
    </row>
    <row r="29" spans="1:3" x14ac:dyDescent="0.25">
      <c r="A29" s="1" t="s">
        <v>42</v>
      </c>
      <c r="C29" t="str">
        <v>Hole missing</v>
      </c>
    </row>
    <row r="30" spans="1:3" x14ac:dyDescent="0.25">
      <c r="A30" s="1" t="s">
        <v>43</v>
      </c>
      <c r="C30" t="str">
        <v>Hole Oblong</v>
      </c>
    </row>
    <row r="31" spans="1:3" x14ac:dyDescent="0.25">
      <c r="A31" s="1" t="s">
        <v>44</v>
      </c>
      <c r="C31" t="str">
        <v>Hole Oversize</v>
      </c>
    </row>
    <row r="32" spans="1:3" x14ac:dyDescent="0.25">
      <c r="A32" s="1" t="s">
        <v>45</v>
      </c>
      <c r="C32" t="str">
        <v>Hole pull up/Oblong</v>
      </c>
    </row>
    <row r="33" spans="1:3" x14ac:dyDescent="0.25">
      <c r="A33" s="1" t="s">
        <v>46</v>
      </c>
      <c r="C33" t="str">
        <v>Hole shift</v>
      </c>
    </row>
    <row r="34" spans="1:3" x14ac:dyDescent="0.25">
      <c r="A34" s="1" t="s">
        <v>47</v>
      </c>
      <c r="C34" t="str">
        <v>Hole Undersize</v>
      </c>
    </row>
    <row r="35" spans="1:3" x14ac:dyDescent="0.25">
      <c r="A35" s="1" t="s">
        <v>48</v>
      </c>
      <c r="C35" t="str">
        <v>Hook Mark</v>
      </c>
    </row>
    <row r="36" spans="1:3" x14ac:dyDescent="0.25">
      <c r="A36" s="1" t="s">
        <v>49</v>
      </c>
      <c r="C36" t="str">
        <v>Incomplete Joint</v>
      </c>
    </row>
    <row r="37" spans="1:3" x14ac:dyDescent="0.25">
      <c r="A37" s="1" t="s">
        <v>50</v>
      </c>
      <c r="C37" t="str">
        <v>Lack Of Fusion</v>
      </c>
    </row>
    <row r="38" spans="1:3" x14ac:dyDescent="0.25">
      <c r="A38" s="1" t="s">
        <v>51</v>
      </c>
      <c r="C38" t="str">
        <v xml:space="preserve">Logistic Damage          </v>
      </c>
    </row>
    <row r="39" spans="1:3" x14ac:dyDescent="0.25">
      <c r="A39" s="1" t="s">
        <v>52</v>
      </c>
      <c r="C39" t="str">
        <v>Logistic not as per requirement</v>
      </c>
    </row>
    <row r="40" spans="1:3" x14ac:dyDescent="0.25">
      <c r="A40" s="1" t="s">
        <v>53</v>
      </c>
      <c r="C40" t="str">
        <v>Low DFT</v>
      </c>
    </row>
    <row r="41" spans="1:3" x14ac:dyDescent="0.25">
      <c r="A41" s="1" t="s">
        <v>54</v>
      </c>
      <c r="C41" t="str">
        <v>Machining burr</v>
      </c>
    </row>
    <row r="42" spans="1:3" x14ac:dyDescent="0.25">
      <c r="A42" s="1" t="s">
        <v>55</v>
      </c>
      <c r="C42" t="str">
        <v>Material fold</v>
      </c>
    </row>
    <row r="43" spans="1:3" x14ac:dyDescent="0.25">
      <c r="A43" s="1" t="s">
        <v>56</v>
      </c>
      <c r="C43" t="str">
        <v>Nut missing</v>
      </c>
    </row>
    <row r="44" spans="1:3" x14ac:dyDescent="0.25">
      <c r="A44" s="1" t="s">
        <v>57</v>
      </c>
      <c r="C44" t="str">
        <v>Nut shift/Offset</v>
      </c>
    </row>
    <row r="45" spans="1:3" x14ac:dyDescent="0.25">
      <c r="A45" s="1" t="s">
        <v>58</v>
      </c>
      <c r="C45" t="str">
        <v>Operation Missing</v>
      </c>
    </row>
    <row r="46" spans="1:3" x14ac:dyDescent="0.25">
      <c r="A46" s="1" t="s">
        <v>113</v>
      </c>
      <c r="C46" t="str">
        <v>Other</v>
      </c>
    </row>
    <row r="47" spans="1:3" x14ac:dyDescent="0.25">
      <c r="A47" s="1" t="s">
        <v>59</v>
      </c>
      <c r="C47" t="str">
        <v>Paint damage</v>
      </c>
    </row>
    <row r="48" spans="1:3" x14ac:dyDescent="0.25">
      <c r="A48" s="1" t="s">
        <v>60</v>
      </c>
      <c r="C48" t="str">
        <v>Part wrong/Taper</v>
      </c>
    </row>
    <row r="49" spans="1:3" x14ac:dyDescent="0.25">
      <c r="A49" s="1" t="s">
        <v>61</v>
      </c>
      <c r="C49" t="str">
        <v>Peeling</v>
      </c>
    </row>
    <row r="50" spans="1:3" x14ac:dyDescent="0.25">
      <c r="A50" s="1" t="s">
        <v>62</v>
      </c>
      <c r="C50" t="str">
        <v>Pin Holes</v>
      </c>
    </row>
    <row r="51" spans="1:3" x14ac:dyDescent="0.25">
      <c r="A51" s="1" t="s">
        <v>63</v>
      </c>
      <c r="C51" t="str">
        <v>plating low</v>
      </c>
    </row>
    <row r="52" spans="1:3" x14ac:dyDescent="0.25">
      <c r="A52" s="1" t="s">
        <v>64</v>
      </c>
      <c r="C52" t="str">
        <v>Poor Welding</v>
      </c>
    </row>
    <row r="53" spans="1:3" x14ac:dyDescent="0.25">
      <c r="A53" s="1" t="s">
        <v>65</v>
      </c>
      <c r="C53" t="str">
        <v>Porosity</v>
      </c>
    </row>
    <row r="54" spans="1:3" x14ac:dyDescent="0.25">
      <c r="A54" s="1" t="s">
        <v>66</v>
      </c>
      <c r="C54" t="str">
        <v>Retainer gap</v>
      </c>
    </row>
    <row r="55" spans="1:3" x14ac:dyDescent="0.25">
      <c r="A55" s="1" t="s">
        <v>67</v>
      </c>
      <c r="C55" t="str">
        <v xml:space="preserve">RUPD Strip Direction Wrong          </v>
      </c>
    </row>
    <row r="56" spans="1:3" x14ac:dyDescent="0.25">
      <c r="A56" s="1" t="s">
        <v>68</v>
      </c>
      <c r="C56" t="str">
        <v>Rusty</v>
      </c>
    </row>
    <row r="57" spans="1:3" x14ac:dyDescent="0.25">
      <c r="A57" s="1" t="s">
        <v>69</v>
      </c>
      <c r="C57" t="str">
        <v>Scoring</v>
      </c>
    </row>
    <row r="58" spans="1:3" x14ac:dyDescent="0.25">
      <c r="A58" s="1" t="s">
        <v>70</v>
      </c>
      <c r="C58" t="str">
        <v>Scratch mark</v>
      </c>
    </row>
    <row r="59" spans="1:3" x14ac:dyDescent="0.25">
      <c r="A59" s="1" t="s">
        <v>71</v>
      </c>
      <c r="C59" t="str">
        <v>Shabby welding</v>
      </c>
    </row>
    <row r="60" spans="1:3" x14ac:dyDescent="0.25">
      <c r="A60" s="1" t="s">
        <v>72</v>
      </c>
      <c r="C60" t="str">
        <v>Shearing size oversize</v>
      </c>
    </row>
    <row r="61" spans="1:3" x14ac:dyDescent="0.25">
      <c r="A61" s="1" t="s">
        <v>73</v>
      </c>
      <c r="C61" t="str">
        <v>Shearing size undersize</v>
      </c>
    </row>
    <row r="62" spans="1:3" x14ac:dyDescent="0.25">
      <c r="A62" s="1" t="s">
        <v>74</v>
      </c>
      <c r="C62" t="str">
        <v>Slot Missing</v>
      </c>
    </row>
    <row r="63" spans="1:3" x14ac:dyDescent="0.25">
      <c r="A63" s="1" t="s">
        <v>75</v>
      </c>
      <c r="C63" t="str">
        <v>Spot burr</v>
      </c>
    </row>
    <row r="64" spans="1:3" x14ac:dyDescent="0.25">
      <c r="A64" s="1" t="s">
        <v>76</v>
      </c>
      <c r="C64" t="str">
        <v>Spot missing</v>
      </c>
    </row>
    <row r="65" spans="1:3" x14ac:dyDescent="0.25">
      <c r="A65" s="1" t="s">
        <v>77</v>
      </c>
      <c r="C65" t="str">
        <v>Spot Open</v>
      </c>
    </row>
    <row r="66" spans="1:3" x14ac:dyDescent="0.25">
      <c r="A66" s="1" t="s">
        <v>78</v>
      </c>
      <c r="C66" t="str">
        <v>Step Marks In Hole</v>
      </c>
    </row>
    <row r="67" spans="1:3" x14ac:dyDescent="0.25">
      <c r="A67" s="1" t="s">
        <v>79</v>
      </c>
      <c r="C67" t="str">
        <v>Stud missing</v>
      </c>
    </row>
    <row r="68" spans="1:3" x14ac:dyDescent="0.25">
      <c r="A68" s="1" t="s">
        <v>80</v>
      </c>
      <c r="C68" t="str">
        <v>Surface roughness</v>
      </c>
    </row>
    <row r="69" spans="1:3" x14ac:dyDescent="0.25">
      <c r="A69" s="1" t="s">
        <v>81</v>
      </c>
      <c r="C69" t="str">
        <v>Taper Nut</v>
      </c>
    </row>
    <row r="70" spans="1:3" x14ac:dyDescent="0.25">
      <c r="A70" s="1" t="s">
        <v>82</v>
      </c>
      <c r="C70" t="str">
        <v>Tapping Not ok</v>
      </c>
    </row>
    <row r="71" spans="1:3" x14ac:dyDescent="0.25">
      <c r="A71" s="1" t="s">
        <v>83</v>
      </c>
      <c r="C71" t="str">
        <v>Thinning</v>
      </c>
    </row>
    <row r="72" spans="1:3" x14ac:dyDescent="0.25">
      <c r="A72" s="1" t="s">
        <v>84</v>
      </c>
      <c r="C72" t="str">
        <v>Thread damage</v>
      </c>
    </row>
    <row r="73" spans="1:3" x14ac:dyDescent="0.25">
      <c r="A73" s="1" t="s">
        <v>85</v>
      </c>
      <c r="C73" t="str">
        <v>Thread missing</v>
      </c>
    </row>
    <row r="74" spans="1:3" x14ac:dyDescent="0.25">
      <c r="A74" s="1" t="s">
        <v>86</v>
      </c>
      <c r="C74" t="str">
        <v>Trolley wheel jam</v>
      </c>
    </row>
    <row r="75" spans="1:3" x14ac:dyDescent="0.25">
      <c r="A75" s="1" t="s">
        <v>87</v>
      </c>
      <c r="C75" t="str">
        <v>Uncover coating</v>
      </c>
    </row>
    <row r="76" spans="1:3" x14ac:dyDescent="0.25">
      <c r="A76" s="1" t="s">
        <v>88</v>
      </c>
      <c r="C76" t="str">
        <v>Wall Thickness Oversize</v>
      </c>
    </row>
    <row r="77" spans="1:3" x14ac:dyDescent="0.25">
      <c r="A77" s="1" t="s">
        <v>89</v>
      </c>
      <c r="C77" t="str">
        <v>Wall Thickness Undersize</v>
      </c>
    </row>
    <row r="78" spans="1:3" x14ac:dyDescent="0.25">
      <c r="A78" s="1" t="s">
        <v>90</v>
      </c>
      <c r="C78" t="str">
        <v>Weaviness</v>
      </c>
    </row>
    <row r="79" spans="1:3" x14ac:dyDescent="0.25">
      <c r="A79" s="1" t="s">
        <v>91</v>
      </c>
      <c r="C79" t="str">
        <v>Weld Burn</v>
      </c>
    </row>
    <row r="80" spans="1:3" x14ac:dyDescent="0.25">
      <c r="A80" s="1" t="s">
        <v>92</v>
      </c>
      <c r="C80" t="str">
        <v>Welding missing</v>
      </c>
    </row>
    <row r="81" spans="1:3" x14ac:dyDescent="0.25">
      <c r="A81" s="1" t="s">
        <v>93</v>
      </c>
      <c r="C81" t="str">
        <v>Welding Overlapp</v>
      </c>
    </row>
    <row r="82" spans="1:3" x14ac:dyDescent="0.25">
      <c r="A82" s="1" t="s">
        <v>94</v>
      </c>
      <c r="C82" t="str">
        <v>Welding spatter</v>
      </c>
    </row>
    <row r="83" spans="1:3" x14ac:dyDescent="0.25">
      <c r="A83" s="1" t="s">
        <v>95</v>
      </c>
      <c r="C83" t="str">
        <v>Welding Undercut</v>
      </c>
    </row>
    <row r="84" spans="1:3" x14ac:dyDescent="0.25">
      <c r="A84" s="1" t="s">
        <v>96</v>
      </c>
      <c r="C84" t="str">
        <v xml:space="preserve">Wire Rope Cut    </v>
      </c>
    </row>
    <row r="85" spans="1:3" x14ac:dyDescent="0.25">
      <c r="A85" s="1" t="s">
        <v>97</v>
      </c>
      <c r="C85" t="str">
        <v>Wrinkle</v>
      </c>
    </row>
    <row r="86" spans="1:3" x14ac:dyDescent="0.25">
      <c r="A86" s="1" t="s">
        <v>98</v>
      </c>
      <c r="C86" t="str">
        <v>Wrong Challan</v>
      </c>
    </row>
    <row r="87" spans="1:3" x14ac:dyDescent="0.25">
      <c r="A87" s="1" t="s">
        <v>99</v>
      </c>
      <c r="C87" t="str">
        <v>Wrong forming</v>
      </c>
    </row>
    <row r="88" spans="1:3" x14ac:dyDescent="0.25">
      <c r="A88" s="1" t="s">
        <v>100</v>
      </c>
      <c r="C88" t="str">
        <v>Wrong Material </v>
      </c>
    </row>
    <row r="89" spans="1:3" x14ac:dyDescent="0.25">
      <c r="A89" s="1" t="s">
        <v>101</v>
      </c>
      <c r="C89" t="str">
        <v>Wrong part packing</v>
      </c>
    </row>
    <row r="90" spans="1:3" x14ac:dyDescent="0.25">
      <c r="A90" s="1" t="s">
        <v>102</v>
      </c>
      <c r="C90" t="str">
        <v>Wrong screening</v>
      </c>
    </row>
    <row r="91" spans="1:3" x14ac:dyDescent="0.25">
      <c r="A91" s="1" t="s">
        <v>103</v>
      </c>
      <c r="C91" t="str">
        <v>Wrong sticker</v>
      </c>
    </row>
    <row r="92" spans="1:3" x14ac:dyDescent="0.25">
      <c r="A92" s="1" t="s">
        <v>104</v>
      </c>
      <c r="C92" t="str">
        <v>Wrong thickness</v>
      </c>
    </row>
    <row r="93" spans="1:3" x14ac:dyDescent="0.25">
      <c r="A93" s="2" t="s">
        <v>105</v>
      </c>
      <c r="C93" t="str">
        <v>Wrong weld nut</v>
      </c>
    </row>
    <row r="94" spans="1:3" x14ac:dyDescent="0.25">
      <c r="A94" s="2"/>
    </row>
    <row r="95" spans="1:3" x14ac:dyDescent="0.25">
      <c r="A95" s="2"/>
    </row>
  </sheetData>
  <sortState xmlns:xlrd2="http://schemas.microsoft.com/office/spreadsheetml/2017/richdata2" ref="A1:A93">
    <sortCondition ref="A71:A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9EEA-9B35-4559-9FFC-4AAAA5BA19D8}">
  <dimension ref="A1:C8"/>
  <sheetViews>
    <sheetView workbookViewId="0">
      <selection activeCell="C1" sqref="C1"/>
    </sheetView>
  </sheetViews>
  <sheetFormatPr defaultRowHeight="15" x14ac:dyDescent="0.25"/>
  <cols>
    <col min="1" max="1" width="19.5703125" bestFit="1" customWidth="1"/>
    <col min="3" max="3" width="17.5703125" bestFit="1" customWidth="1"/>
  </cols>
  <sheetData>
    <row r="1" spans="1:3" x14ac:dyDescent="0.25">
      <c r="A1" s="3" t="s">
        <v>9</v>
      </c>
      <c r="C1" t="str" cm="1">
        <f t="array" ref="C1:C7">_xlfn._xlws.SORT(_xlfn._xlws.FILTER(A:A,A:A&lt;&gt;""),1,1)</f>
        <v>Assembly</v>
      </c>
    </row>
    <row r="2" spans="1:3" x14ac:dyDescent="0.25">
      <c r="A2" s="3" t="s">
        <v>10</v>
      </c>
      <c r="C2" t="str">
        <v>Logistics</v>
      </c>
    </row>
    <row r="3" spans="1:3" x14ac:dyDescent="0.25">
      <c r="A3" s="3" t="s">
        <v>11</v>
      </c>
      <c r="C3" t="str">
        <v>Machining</v>
      </c>
    </row>
    <row r="4" spans="1:3" x14ac:dyDescent="0.25">
      <c r="A4" s="3" t="s">
        <v>113</v>
      </c>
      <c r="C4" t="str">
        <v>Other</v>
      </c>
    </row>
    <row r="5" spans="1:3" x14ac:dyDescent="0.25">
      <c r="A5" s="3" t="s">
        <v>12</v>
      </c>
      <c r="C5" t="str">
        <v>Pressing</v>
      </c>
    </row>
    <row r="6" spans="1:3" x14ac:dyDescent="0.25">
      <c r="A6" s="3" t="s">
        <v>13</v>
      </c>
      <c r="C6" t="str">
        <v>Surface protection</v>
      </c>
    </row>
    <row r="7" spans="1:3" x14ac:dyDescent="0.25">
      <c r="A7" s="3" t="s">
        <v>14</v>
      </c>
      <c r="C7" t="str">
        <v>Welding</v>
      </c>
    </row>
    <row r="8" spans="1:3" x14ac:dyDescent="0.25">
      <c r="A8" s="3"/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Defects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Ganesh Deshpande</cp:lastModifiedBy>
  <dcterms:created xsi:type="dcterms:W3CDTF">2015-06-05T18:17:20Z</dcterms:created>
  <dcterms:modified xsi:type="dcterms:W3CDTF">2026-09-07T05:30:42Z</dcterms:modified>
</cp:coreProperties>
</file>