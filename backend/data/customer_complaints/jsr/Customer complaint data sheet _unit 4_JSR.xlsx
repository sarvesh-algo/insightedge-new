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sharadaindustries-my.sharepoint.com/personal/afroz_khan_sharadaindustries_com/Documents/Afroz DATA/Algo analytic data _customer &amp;Internal/"/>
    </mc:Choice>
  </mc:AlternateContent>
  <xr:revisionPtr revIDLastSave="191" documentId="13_ncr:1_{95CE87BC-2615-4801-A8EB-0052D6D5EE5E}" xr6:coauthVersionLast="47" xr6:coauthVersionMax="47" xr10:uidLastSave="{D64C8113-3082-4864-B253-ADFE8A3092EA}"/>
  <bookViews>
    <workbookView xWindow="-120" yWindow="-120" windowWidth="20730" windowHeight="11040" firstSheet="8" activeTab="13" xr2:uid="{00000000-000D-0000-FFFF-FFFF00000000}"/>
  </bookViews>
  <sheets>
    <sheet name="JULY_2025" sheetId="2" r:id="rId1"/>
    <sheet name="August _2025 (2)" sheetId="3" r:id="rId2"/>
    <sheet name="September_2025" sheetId="1" r:id="rId3"/>
    <sheet name="October_2025" sheetId="4" r:id="rId4"/>
    <sheet name="November  _2025" sheetId="5" r:id="rId5"/>
    <sheet name="December _2025" sheetId="6" r:id="rId6"/>
    <sheet name="January _2026" sheetId="7" r:id="rId7"/>
    <sheet name="February 2026" sheetId="8" r:id="rId8"/>
    <sheet name="March_2026" sheetId="9" r:id="rId9"/>
    <sheet name="April_2026" sheetId="10" r:id="rId10"/>
    <sheet name="May _2026" sheetId="11" r:id="rId11"/>
    <sheet name="June _2026" sheetId="12" r:id="rId12"/>
    <sheet name="July_2026" sheetId="13" r:id="rId13"/>
    <sheet name="August_2026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4" l="1"/>
  <c r="L6" i="14" s="1"/>
  <c r="J5" i="14"/>
  <c r="L5" i="14" s="1"/>
  <c r="J4" i="14"/>
  <c r="L4" i="14" s="1"/>
  <c r="J3" i="14"/>
  <c r="L3" i="14" s="1"/>
  <c r="J7" i="13"/>
  <c r="L7" i="13" s="1"/>
  <c r="J8" i="13"/>
  <c r="L8" i="13" s="1"/>
  <c r="J6" i="13"/>
  <c r="L6" i="13" s="1"/>
  <c r="J5" i="13"/>
  <c r="L5" i="13" s="1"/>
  <c r="J4" i="13"/>
  <c r="L4" i="13" s="1"/>
  <c r="J3" i="13"/>
  <c r="L3" i="13" s="1"/>
  <c r="J6" i="12"/>
  <c r="L6" i="12" s="1"/>
  <c r="J5" i="12"/>
  <c r="L5" i="12" s="1"/>
  <c r="J4" i="12"/>
  <c r="L4" i="12" s="1"/>
  <c r="J3" i="12"/>
  <c r="L3" i="12" s="1"/>
  <c r="J3" i="11"/>
  <c r="J9" i="11"/>
  <c r="L9" i="11" s="1"/>
  <c r="J8" i="11"/>
  <c r="L8" i="11" s="1"/>
  <c r="J7" i="11"/>
  <c r="J6" i="11"/>
  <c r="J5" i="11"/>
  <c r="J4" i="11"/>
  <c r="L3" i="11"/>
  <c r="J8" i="10"/>
  <c r="L8" i="10" s="1"/>
  <c r="J3" i="10"/>
  <c r="J4" i="10"/>
  <c r="L4" i="10" s="1"/>
  <c r="J5" i="10"/>
  <c r="L5" i="10" s="1"/>
  <c r="J6" i="10"/>
  <c r="J7" i="10"/>
  <c r="L7" i="10" s="1"/>
  <c r="L6" i="10"/>
  <c r="L3" i="10"/>
  <c r="J7" i="9"/>
  <c r="L7" i="9" s="1"/>
  <c r="J6" i="9"/>
  <c r="L6" i="9" s="1"/>
  <c r="J5" i="9"/>
  <c r="L5" i="9" s="1"/>
  <c r="J4" i="9"/>
  <c r="L4" i="9" s="1"/>
  <c r="J3" i="9"/>
  <c r="L3" i="9" s="1"/>
  <c r="J9" i="8"/>
  <c r="L9" i="8" s="1"/>
  <c r="J6" i="8"/>
  <c r="L6" i="8"/>
  <c r="J7" i="8"/>
  <c r="L7" i="8" s="1"/>
  <c r="J8" i="8"/>
  <c r="L8" i="8"/>
  <c r="J5" i="8"/>
  <c r="L5" i="8" s="1"/>
  <c r="J4" i="8"/>
  <c r="L4" i="8" s="1"/>
  <c r="J3" i="8"/>
  <c r="L3" i="8" s="1"/>
  <c r="J4" i="7"/>
  <c r="J5" i="7"/>
  <c r="L6" i="11" l="1"/>
  <c r="L7" i="11"/>
  <c r="L4" i="11"/>
  <c r="L5" i="11"/>
  <c r="L5" i="7"/>
  <c r="L4" i="7"/>
  <c r="J3" i="7"/>
  <c r="L3" i="7" s="1"/>
  <c r="J6" i="6"/>
  <c r="L6" i="6" s="1"/>
  <c r="J5" i="6"/>
  <c r="L5" i="6" s="1"/>
  <c r="J4" i="6"/>
  <c r="L4" i="6" s="1"/>
  <c r="J3" i="6"/>
  <c r="L3" i="6" s="1"/>
  <c r="L5" i="5"/>
  <c r="J5" i="5"/>
  <c r="J4" i="5"/>
  <c r="L4" i="5" s="1"/>
  <c r="J3" i="5"/>
  <c r="L3" i="5" s="1"/>
  <c r="J4" i="4"/>
  <c r="L4" i="4" s="1"/>
  <c r="J3" i="4"/>
  <c r="L3" i="4" s="1"/>
  <c r="J4" i="1"/>
  <c r="J3" i="1"/>
  <c r="J3" i="3"/>
  <c r="L12" i="3" l="1"/>
  <c r="J12" i="3"/>
  <c r="L11" i="3"/>
  <c r="J11" i="3"/>
  <c r="J10" i="3"/>
  <c r="L10" i="3" s="1"/>
  <c r="J9" i="3"/>
  <c r="L9" i="3" s="1"/>
  <c r="J8" i="3"/>
  <c r="L8" i="3" s="1"/>
  <c r="J7" i="3"/>
  <c r="L7" i="3" s="1"/>
  <c r="J6" i="3"/>
  <c r="L6" i="3" s="1"/>
  <c r="L5" i="3"/>
  <c r="J5" i="3"/>
  <c r="J4" i="3"/>
  <c r="L4" i="3" s="1"/>
  <c r="L3" i="3"/>
  <c r="L14" i="2"/>
  <c r="L15" i="2"/>
  <c r="L16" i="2"/>
  <c r="J7" i="2"/>
  <c r="J8" i="2"/>
  <c r="L8" i="2" s="1"/>
  <c r="J9" i="2"/>
  <c r="L9" i="2" s="1"/>
  <c r="J10" i="2"/>
  <c r="L10" i="2" s="1"/>
  <c r="J11" i="2"/>
  <c r="L11" i="2" s="1"/>
  <c r="J12" i="2"/>
  <c r="L12" i="2" s="1"/>
  <c r="J13" i="2"/>
  <c r="J14" i="2"/>
  <c r="J15" i="2"/>
  <c r="J16" i="2"/>
  <c r="J17" i="2"/>
  <c r="J6" i="2"/>
  <c r="J5" i="2"/>
  <c r="J4" i="2"/>
  <c r="J3" i="2"/>
  <c r="L3" i="2" s="1"/>
  <c r="L5" i="2" l="1"/>
  <c r="L7" i="2"/>
  <c r="L6" i="2"/>
  <c r="L17" i="2"/>
  <c r="L13" i="2"/>
  <c r="L4" i="2"/>
  <c r="L4" i="1"/>
  <c r="L3" i="1"/>
</calcChain>
</file>

<file path=xl/sharedStrings.xml><?xml version="1.0" encoding="utf-8"?>
<sst xmlns="http://schemas.openxmlformats.org/spreadsheetml/2006/main" count="954" uniqueCount="237">
  <si>
    <t>Sr. No.</t>
  </si>
  <si>
    <t>Date</t>
  </si>
  <si>
    <t>Part No.</t>
  </si>
  <si>
    <t>Part Name</t>
  </si>
  <si>
    <r>
      <t xml:space="preserve">Defects Dropdown </t>
    </r>
    <r>
      <rPr>
        <sz val="10"/>
        <color rgb="FF000000"/>
        <rFont val="Arial"/>
        <family val="2"/>
      </rPr>
      <t>(Type of Defects)</t>
    </r>
  </si>
  <si>
    <t>Defect Description</t>
  </si>
  <si>
    <r>
      <t xml:space="preserve">Rejection Quantity </t>
    </r>
    <r>
      <rPr>
        <sz val="10"/>
        <color rgb="FF000000"/>
        <rFont val="Arial"/>
        <family val="2"/>
      </rPr>
      <t>(No. of parts rejected)</t>
    </r>
    <r>
      <rPr>
        <b/>
        <sz val="10"/>
        <color rgb="FF000000"/>
        <rFont val="Arial"/>
        <family val="2"/>
      </rPr>
      <t xml:space="preserve"> </t>
    </r>
  </si>
  <si>
    <r>
      <t xml:space="preserve">Sale Quantity </t>
    </r>
    <r>
      <rPr>
        <sz val="10"/>
        <color rgb="FF000000"/>
        <rFont val="Arial"/>
        <family val="2"/>
      </rPr>
      <t>(No. of parts dispatched)</t>
    </r>
  </si>
  <si>
    <r>
      <t xml:space="preserve">Cost per part </t>
    </r>
    <r>
      <rPr>
        <sz val="10"/>
        <color rgb="FF000000"/>
        <rFont val="Arial"/>
        <family val="2"/>
      </rPr>
      <t>(Individual part cost)</t>
    </r>
  </si>
  <si>
    <r>
      <t xml:space="preserve">Rejection Cost </t>
    </r>
    <r>
      <rPr>
        <sz val="10"/>
        <color rgb="FF000000"/>
        <rFont val="Arial"/>
        <family val="2"/>
      </rPr>
      <t>(Rejection quantity x Cost per part)</t>
    </r>
  </si>
  <si>
    <r>
      <t xml:space="preserve">Debit cost </t>
    </r>
    <r>
      <rPr>
        <sz val="10"/>
        <color rgb="FF000000"/>
        <rFont val="Arial"/>
        <family val="2"/>
      </rPr>
      <t>(Penalty from buyer)</t>
    </r>
  </si>
  <si>
    <r>
      <t xml:space="preserve">Total Rejection Cost </t>
    </r>
    <r>
      <rPr>
        <sz val="10"/>
        <color rgb="FF000000"/>
        <rFont val="Arial"/>
        <family val="2"/>
      </rPr>
      <t>(Rejection Cost + Debit Cost)</t>
    </r>
  </si>
  <si>
    <r>
      <t xml:space="preserve">Process Dropdown </t>
    </r>
    <r>
      <rPr>
        <sz val="10"/>
        <color rgb="FF000000"/>
        <rFont val="Arial"/>
        <family val="2"/>
      </rPr>
      <t>(Type of Process)</t>
    </r>
  </si>
  <si>
    <t>Process Description</t>
  </si>
  <si>
    <t>Unit Location</t>
  </si>
  <si>
    <t>Machine</t>
  </si>
  <si>
    <t>Location</t>
  </si>
  <si>
    <t>06.08.2025</t>
  </si>
  <si>
    <t>Assy steering column support</t>
  </si>
  <si>
    <t>Dimension not ok</t>
  </si>
  <si>
    <t>Bracket position shifted Actual 103 found 98.5mm</t>
  </si>
  <si>
    <t>Welding</t>
  </si>
  <si>
    <t>co2 welding</t>
  </si>
  <si>
    <t>Unit 4</t>
  </si>
  <si>
    <t>SI/SGM/03</t>
  </si>
  <si>
    <t>JSR</t>
  </si>
  <si>
    <t>Mounting bracket assy front</t>
  </si>
  <si>
    <t>Mtg bracket gap 30mm actual found 34.5</t>
  </si>
  <si>
    <t>Pressing</t>
  </si>
  <si>
    <t>Unit 10</t>
  </si>
  <si>
    <t>PP/13</t>
  </si>
  <si>
    <t>20.08.2025</t>
  </si>
  <si>
    <t>Bracket Assy</t>
  </si>
  <si>
    <t>Development Rejection </t>
  </si>
  <si>
    <t>DVP sample rejeted</t>
  </si>
  <si>
    <t>Unit 11</t>
  </si>
  <si>
    <t>PP/14</t>
  </si>
  <si>
    <t>KIT ASSY FOR VENT CAP</t>
  </si>
  <si>
    <t>Taper Nut</t>
  </si>
  <si>
    <t xml:space="preserve">Poor finish bolt taper </t>
  </si>
  <si>
    <t>Unit 12</t>
  </si>
  <si>
    <t>PP/15</t>
  </si>
  <si>
    <t>Unit 13</t>
  </si>
  <si>
    <t>PP/16</t>
  </si>
  <si>
    <t>Heat shield tail pipe</t>
  </si>
  <si>
    <t>Surface roughness</t>
  </si>
  <si>
    <t>Grinding mark</t>
  </si>
  <si>
    <t>Unit 14</t>
  </si>
  <si>
    <t>PP/17</t>
  </si>
  <si>
    <t>02.08.2025</t>
  </si>
  <si>
    <t>Assy steering bracket ZF type.</t>
  </si>
  <si>
    <t>center distance 100 obs 99</t>
  </si>
  <si>
    <t>Drilling</t>
  </si>
  <si>
    <t>Unit 15</t>
  </si>
  <si>
    <t>PP/18</t>
  </si>
  <si>
    <t>19.08.2025</t>
  </si>
  <si>
    <t>Unit 16</t>
  </si>
  <si>
    <t>PP/19</t>
  </si>
  <si>
    <t>51846260M10181</t>
  </si>
  <si>
    <t>Bonnet Assy.</t>
  </si>
  <si>
    <t>Spot Open</t>
  </si>
  <si>
    <t>Spot</t>
  </si>
  <si>
    <t>Unit 18</t>
  </si>
  <si>
    <t>PP/21</t>
  </si>
  <si>
    <t xml:space="preserve">Logistic Damage          </t>
  </si>
  <si>
    <t>Damage</t>
  </si>
  <si>
    <t>Logistics</t>
  </si>
  <si>
    <t>Unit 19</t>
  </si>
  <si>
    <t>PP/22</t>
  </si>
  <si>
    <t>05.08.2025</t>
  </si>
  <si>
    <t>05.07.2025</t>
  </si>
  <si>
    <t>15.07.2025</t>
  </si>
  <si>
    <t>Bow 7mm</t>
  </si>
  <si>
    <t>21.07.2025</t>
  </si>
  <si>
    <t>Contractor relay mtg bracket</t>
  </si>
  <si>
    <t>Low DFT</t>
  </si>
  <si>
    <t>LOW DFT</t>
  </si>
  <si>
    <t>ASSY STEEERING COLUMN BRACKET</t>
  </si>
  <si>
    <t>Defective loose parts </t>
  </si>
  <si>
    <t>CIRCLIP LOCKING OPEN UP</t>
  </si>
  <si>
    <t>25.07.2025</t>
  </si>
  <si>
    <t>SPACER</t>
  </si>
  <si>
    <t>Hole shift</t>
  </si>
  <si>
    <t>Hole out</t>
  </si>
  <si>
    <t>Outside Diametor under size</t>
  </si>
  <si>
    <t>11.07.2025</t>
  </si>
  <si>
    <t>Bracket Assy cross member RH</t>
  </si>
  <si>
    <t>Distance 180mm observed 177</t>
  </si>
  <si>
    <t>Bracket Assy cross member LH</t>
  </si>
  <si>
    <t>04.07.2025</t>
  </si>
  <si>
    <t>HEAT SHIELD</t>
  </si>
  <si>
    <t>Grnding mark on outside surface</t>
  </si>
  <si>
    <t>23.07.2025</t>
  </si>
  <si>
    <t>Bracket Assy licence plate</t>
  </si>
  <si>
    <t>Hole Undersize</t>
  </si>
  <si>
    <t xml:space="preserve">Hole dia under size </t>
  </si>
  <si>
    <t>12.07.2025</t>
  </si>
  <si>
    <t>10.07.2025</t>
  </si>
  <si>
    <t>Anchor bracker assy selection cable</t>
  </si>
  <si>
    <t>Wrong forming</t>
  </si>
  <si>
    <t>wrong orientation of bending</t>
  </si>
  <si>
    <t>11.09.2025</t>
  </si>
  <si>
    <t>Bracket assy fuel filter</t>
  </si>
  <si>
    <t>Rusty</t>
  </si>
  <si>
    <t>Mounting surface taper 5..5mm</t>
  </si>
  <si>
    <t>Dimensional</t>
  </si>
  <si>
    <t>powder coating</t>
  </si>
  <si>
    <t>welding</t>
  </si>
  <si>
    <t>SI/DE/WM/01</t>
  </si>
  <si>
    <t>SI/OVN/01</t>
  </si>
  <si>
    <t>15.10.2025</t>
  </si>
  <si>
    <t>Gusset bumper cross member lh</t>
  </si>
  <si>
    <t>Gusset bumper cross member rh</t>
  </si>
  <si>
    <t>Pressing hole deformed</t>
  </si>
  <si>
    <t>24.11.2025</t>
  </si>
  <si>
    <t>Assy steerig column</t>
  </si>
  <si>
    <t>Spindle thread damage</t>
  </si>
  <si>
    <t>Thread Damge</t>
  </si>
  <si>
    <t>Assy steering column</t>
  </si>
  <si>
    <t>welding broken</t>
  </si>
  <si>
    <t>clamping stand welding broken</t>
  </si>
  <si>
    <t>Spindle loose</t>
  </si>
  <si>
    <t xml:space="preserve">Spindle loose </t>
  </si>
  <si>
    <t>Assembly</t>
  </si>
  <si>
    <t>sub assembly</t>
  </si>
  <si>
    <t>11.12.2025</t>
  </si>
  <si>
    <t>Assy Aux water tank mtg  RH</t>
  </si>
  <si>
    <t>Assy Aux water tank mtg  LH</t>
  </si>
  <si>
    <t>weld nut missing</t>
  </si>
  <si>
    <t>Bolt slip</t>
  </si>
  <si>
    <t>Thread Missing</t>
  </si>
  <si>
    <t>SIDM/01</t>
  </si>
  <si>
    <t>SI/DM/03</t>
  </si>
  <si>
    <t>12.1.2026</t>
  </si>
  <si>
    <t>31.01.2026</t>
  </si>
  <si>
    <t>Assy Bonnet</t>
  </si>
  <si>
    <t xml:space="preserve">Toggle clamp position variations </t>
  </si>
  <si>
    <t>Toggle clamp position</t>
  </si>
  <si>
    <t>Mounting brtacket Front</t>
  </si>
  <si>
    <t>Dimn 50 mm observed 53)</t>
  </si>
  <si>
    <t>03.02.2026</t>
  </si>
  <si>
    <t>M8 Thread Jam</t>
  </si>
  <si>
    <t>07.02.2026</t>
  </si>
  <si>
    <t>Engine lifting Hook</t>
  </si>
  <si>
    <t>Thread Jam</t>
  </si>
  <si>
    <t>Steering column</t>
  </si>
  <si>
    <t>Blot slip</t>
  </si>
  <si>
    <t>Universal mounting bolt slip</t>
  </si>
  <si>
    <t xml:space="preserve">Anchor mtg bracket </t>
  </si>
  <si>
    <t>hole out</t>
  </si>
  <si>
    <t>Hole osition out</t>
  </si>
  <si>
    <t>09.02.2026</t>
  </si>
  <si>
    <t>26.02.2026</t>
  </si>
  <si>
    <t>weld nut offset</t>
  </si>
  <si>
    <t>Bracket Assy Aux water tank LH</t>
  </si>
  <si>
    <t>Dimensionally</t>
  </si>
  <si>
    <t>Dimnesion 20mm observed 24mm</t>
  </si>
  <si>
    <t>Spindle Damge</t>
  </si>
  <si>
    <t>Press shop</t>
  </si>
  <si>
    <t>06.03.2026</t>
  </si>
  <si>
    <t xml:space="preserve">Support Bracket Assy </t>
  </si>
  <si>
    <t>Dimension not ok (Dimn10.3 observed 9.75)</t>
  </si>
  <si>
    <t>Spline Damage</t>
  </si>
  <si>
    <t>Horn mtg bracket</t>
  </si>
  <si>
    <t>Hole position out</t>
  </si>
  <si>
    <t>weld nut cover</t>
  </si>
  <si>
    <t>23.03.2026</t>
  </si>
  <si>
    <t>Circlip open out</t>
  </si>
  <si>
    <t>Piercing</t>
  </si>
  <si>
    <t>Bracket Assy Vehicle Tracking Assy mtg</t>
  </si>
  <si>
    <t>27.04.2026</t>
  </si>
  <si>
    <t>Grill Assy Headlamp LH</t>
  </si>
  <si>
    <t>Welding Defect</t>
  </si>
  <si>
    <t>Grill Assy Headlamp RH</t>
  </si>
  <si>
    <t>06.04.2026</t>
  </si>
  <si>
    <t>Over All Length Exceed By 4mm</t>
  </si>
  <si>
    <t>Heavy Burrs in Mtg Area</t>
  </si>
  <si>
    <t>Unit 5</t>
  </si>
  <si>
    <t>SI/PP/13</t>
  </si>
  <si>
    <t>SI/PP/14</t>
  </si>
  <si>
    <t>SI/PP/15</t>
  </si>
  <si>
    <t>SI/PP/16</t>
  </si>
  <si>
    <t>SI/PP/17</t>
  </si>
  <si>
    <t>SI/PP/18</t>
  </si>
  <si>
    <t>Deep Die mark</t>
  </si>
  <si>
    <t>Visually</t>
  </si>
  <si>
    <t>27.05.2026</t>
  </si>
  <si>
    <t xml:space="preserve">Dimensionaly </t>
  </si>
  <si>
    <t>Dimension 234mm found 228.3mm</t>
  </si>
  <si>
    <t>Paint Defect</t>
  </si>
  <si>
    <t>Without CED coating</t>
  </si>
  <si>
    <t>Assy cross tube</t>
  </si>
  <si>
    <t>Powder coating peel off</t>
  </si>
  <si>
    <t>Powder caoting</t>
  </si>
  <si>
    <t>serration Jam and fitment issue</t>
  </si>
  <si>
    <t>07.05.2026</t>
  </si>
  <si>
    <t>16.05.2026</t>
  </si>
  <si>
    <t xml:space="preserve">Assy intake grill assy </t>
  </si>
  <si>
    <t>Deep grinding mark</t>
  </si>
  <si>
    <t>Sencor bracket  bend</t>
  </si>
  <si>
    <t>29.06.2026</t>
  </si>
  <si>
    <t>27.06.2026</t>
  </si>
  <si>
    <t>508054610101</t>
  </si>
  <si>
    <t>BRACKET ASSY,FUSE BOX MTG</t>
  </si>
  <si>
    <t>Scoring marks</t>
  </si>
  <si>
    <t>Deep scoring marks</t>
  </si>
  <si>
    <t>11.06.2026</t>
  </si>
  <si>
    <t>Assy Ramp RH</t>
  </si>
  <si>
    <t>Assy Ramp LH</t>
  </si>
  <si>
    <t>Adhesion Failed</t>
  </si>
  <si>
    <t>Powder coating defects</t>
  </si>
  <si>
    <t>13.07.2026</t>
  </si>
  <si>
    <t>visually</t>
  </si>
  <si>
    <t>278650010127</t>
  </si>
  <si>
    <t>Bracket Assy water tank mtg _LH</t>
  </si>
  <si>
    <t xml:space="preserve">Weld nut offset </t>
  </si>
  <si>
    <t>Bracket Horn mtg</t>
  </si>
  <si>
    <t xml:space="preserve">Visually </t>
  </si>
  <si>
    <t>scratch mark</t>
  </si>
  <si>
    <t>278650010126</t>
  </si>
  <si>
    <t>Bracket Assy water tank mtg _RH</t>
  </si>
  <si>
    <t xml:space="preserve">Thread cut out </t>
  </si>
  <si>
    <t>12.07.2026</t>
  </si>
  <si>
    <t>275146100104</t>
  </si>
  <si>
    <t>Height Vriation 1.5mm</t>
  </si>
  <si>
    <t>208246100105</t>
  </si>
  <si>
    <t>combi Mtg Thread Jam</t>
  </si>
  <si>
    <t>05.08.2026</t>
  </si>
  <si>
    <t xml:space="preserve">Bracket Assy chamber Mtg </t>
  </si>
  <si>
    <t xml:space="preserve">Dimensionally </t>
  </si>
  <si>
    <t xml:space="preserve">center distance Out </t>
  </si>
  <si>
    <t>508846100102</t>
  </si>
  <si>
    <t>Naccle mtg weld nut taper</t>
  </si>
  <si>
    <t>Thread Slip</t>
  </si>
  <si>
    <t>268089100125</t>
  </si>
  <si>
    <t xml:space="preserve">Mounting bracket Assy Front </t>
  </si>
  <si>
    <t xml:space="preserve">Mounting plate Taper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</si>
</sst>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Calibri"/>
      <family val="2"/>
      <scheme val="minor"/>
    </font>
    <font>
      <sz val="8"/>
      <color rgb="FF000000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000000"/>
      <name val="Arial"/>
      <family val="2"/>
    </font>
    <font>
      <sz val="8"/>
      <color rgb="FF333333"/>
      <name val="Arial"/>
      <family val="2"/>
    </font>
    <font>
      <u/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" fontId="3" fillId="4" borderId="4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 wrapText="1"/>
    </xf>
    <xf numFmtId="0" fontId="0" fillId="4" borderId="0" xfId="0" applyFill="1"/>
    <xf numFmtId="0" fontId="2" fillId="5" borderId="3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1" fontId="3" fillId="4" borderId="8" xfId="0" applyNumberFormat="1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/>
    </xf>
    <xf numFmtId="0" fontId="10" fillId="0" borderId="4" xfId="0" applyFont="1" applyBorder="1"/>
    <xf numFmtId="2" fontId="0" fillId="0" borderId="7" xfId="0" applyNumberForma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49" fontId="12" fillId="5" borderId="11" xfId="0" applyNumberFormat="1" applyFont="1" applyFill="1" applyBorder="1" applyAlignment="1">
      <alignment horizontal="center" vertical="center"/>
    </xf>
    <xf numFmtId="4" fontId="7" fillId="2" borderId="0" xfId="0" applyNumberFormat="1" applyFont="1" applyFill="1" applyAlignment="1">
      <alignment horizontal="center" vertical="center" wrapText="1"/>
    </xf>
    <xf numFmtId="49" fontId="12" fillId="5" borderId="11" xfId="0" applyNumberFormat="1" applyFont="1" applyFill="1" applyBorder="1" applyAlignment="1">
      <alignment horizontal="center" wrapText="1"/>
    </xf>
    <xf numFmtId="0" fontId="13" fillId="0" borderId="4" xfId="0" applyFont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6B78-7032-4B22-990E-B1922677DD38}">
  <dimension ref="A1:Q17"/>
  <sheetViews>
    <sheetView workbookViewId="0">
      <selection activeCell="G13" sqref="G13:G14"/>
    </sheetView>
  </sheetViews>
  <sheetFormatPr defaultRowHeight="15" x14ac:dyDescent="0.25"/>
  <cols>
    <col min="1" max="1" width="9.28515625" bestFit="1" customWidth="1"/>
    <col min="2" max="2" width="11.85546875" customWidth="1"/>
    <col min="3" max="3" width="16.85546875" bestFit="1" customWidth="1"/>
    <col min="4" max="4" width="16.42578125" customWidth="1"/>
    <col min="5" max="5" width="17.7109375" customWidth="1"/>
    <col min="6" max="6" width="32.7109375" bestFit="1" customWidth="1"/>
    <col min="7" max="7" width="19.42578125" customWidth="1"/>
    <col min="8" max="8" width="15.5703125" customWidth="1"/>
    <col min="9" max="9" width="17.7109375" customWidth="1"/>
    <col min="10" max="10" width="16.85546875" customWidth="1"/>
    <col min="11" max="11" width="12.140625" customWidth="1"/>
    <col min="12" max="12" width="20" customWidth="1"/>
    <col min="13" max="13" width="18" customWidth="1"/>
    <col min="14" max="14" width="18.85546875" customWidth="1"/>
    <col min="15" max="15" width="14.28515625" customWidth="1"/>
    <col min="16" max="16" width="11.5703125" customWidth="1"/>
    <col min="17" max="17" width="16.5703125" customWidth="1"/>
  </cols>
  <sheetData>
    <row r="1" spans="1:17" ht="21" customHeight="1" x14ac:dyDescent="0.25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59" t="s">
        <v>9</v>
      </c>
      <c r="K1" s="61" t="s">
        <v>10</v>
      </c>
      <c r="L1" s="59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</row>
    <row r="2" spans="1:17" ht="21.6" customHeight="1" x14ac:dyDescent="0.25">
      <c r="A2" s="62"/>
      <c r="B2" s="62"/>
      <c r="C2" s="62"/>
      <c r="D2" s="62"/>
      <c r="E2" s="62"/>
      <c r="F2" s="63"/>
      <c r="G2" s="62"/>
      <c r="H2" s="62"/>
      <c r="I2" s="62"/>
      <c r="J2" s="60"/>
      <c r="K2" s="62"/>
      <c r="L2" s="60"/>
      <c r="M2" s="63"/>
      <c r="N2" s="62"/>
      <c r="O2" s="63"/>
      <c r="P2" s="62"/>
      <c r="Q2" s="63"/>
    </row>
    <row r="3" spans="1:17" x14ac:dyDescent="0.25">
      <c r="A3" s="1">
        <v>1</v>
      </c>
      <c r="B3" s="2" t="s">
        <v>70</v>
      </c>
      <c r="C3" s="3" t="s">
        <v>58</v>
      </c>
      <c r="D3" s="2" t="s">
        <v>59</v>
      </c>
      <c r="E3" s="4" t="s">
        <v>60</v>
      </c>
      <c r="F3" s="5" t="s">
        <v>60</v>
      </c>
      <c r="G3" s="2">
        <v>2</v>
      </c>
      <c r="H3" s="2">
        <v>1212</v>
      </c>
      <c r="I3" s="19">
        <v>1550.98</v>
      </c>
      <c r="J3" s="5">
        <f>G3*I3</f>
        <v>3101.96</v>
      </c>
      <c r="K3" s="6">
        <v>3101.96</v>
      </c>
      <c r="L3" s="7">
        <f>K3+J3</f>
        <v>6203.92</v>
      </c>
      <c r="M3" s="8" t="s">
        <v>21</v>
      </c>
      <c r="N3" s="9" t="s">
        <v>22</v>
      </c>
      <c r="O3" s="8" t="s">
        <v>23</v>
      </c>
      <c r="P3" s="10" t="s">
        <v>24</v>
      </c>
      <c r="Q3" s="8" t="s">
        <v>25</v>
      </c>
    </row>
    <row r="4" spans="1:17" x14ac:dyDescent="0.25">
      <c r="A4" s="1">
        <v>2</v>
      </c>
      <c r="B4" s="2" t="s">
        <v>71</v>
      </c>
      <c r="C4" s="3" t="s">
        <v>58</v>
      </c>
      <c r="D4" s="2" t="s">
        <v>59</v>
      </c>
      <c r="E4" s="14" t="s">
        <v>19</v>
      </c>
      <c r="F4" s="21" t="s">
        <v>72</v>
      </c>
      <c r="G4" s="2">
        <v>1</v>
      </c>
      <c r="H4" s="2">
        <v>1212</v>
      </c>
      <c r="I4" s="19">
        <v>1550.98</v>
      </c>
      <c r="J4" s="5">
        <f>G4*I4</f>
        <v>1550.98</v>
      </c>
      <c r="K4" s="23">
        <v>1550.98</v>
      </c>
      <c r="L4" s="7">
        <f t="shared" ref="L4:L17" si="0">K4+J4</f>
        <v>3101.96</v>
      </c>
      <c r="M4" s="8" t="s">
        <v>28</v>
      </c>
      <c r="N4" s="9" t="s">
        <v>22</v>
      </c>
      <c r="O4" s="8" t="s">
        <v>29</v>
      </c>
      <c r="P4" s="18" t="s">
        <v>30</v>
      </c>
      <c r="Q4" s="8" t="s">
        <v>25</v>
      </c>
    </row>
    <row r="5" spans="1:17" ht="22.5" x14ac:dyDescent="0.25">
      <c r="A5" s="1">
        <v>3</v>
      </c>
      <c r="B5" s="2" t="s">
        <v>73</v>
      </c>
      <c r="C5" s="12">
        <v>215754408214</v>
      </c>
      <c r="D5" s="13" t="s">
        <v>74</v>
      </c>
      <c r="E5" s="14" t="s">
        <v>75</v>
      </c>
      <c r="F5" s="20" t="s">
        <v>76</v>
      </c>
      <c r="G5" s="2">
        <v>45</v>
      </c>
      <c r="H5" s="2">
        <v>500</v>
      </c>
      <c r="I5" s="24">
        <v>37.26</v>
      </c>
      <c r="J5" s="5">
        <f>G5*I5</f>
        <v>1676.6999999999998</v>
      </c>
      <c r="K5" s="23">
        <v>1676.7</v>
      </c>
      <c r="L5" s="7">
        <f t="shared" si="0"/>
        <v>3353.3999999999996</v>
      </c>
      <c r="M5" s="8" t="s">
        <v>28</v>
      </c>
      <c r="N5" s="9" t="s">
        <v>22</v>
      </c>
      <c r="O5" s="8" t="s">
        <v>35</v>
      </c>
      <c r="P5" s="18" t="s">
        <v>36</v>
      </c>
      <c r="Q5" s="8" t="s">
        <v>25</v>
      </c>
    </row>
    <row r="6" spans="1:17" ht="25.5" x14ac:dyDescent="0.25">
      <c r="A6" s="1">
        <v>4</v>
      </c>
      <c r="B6" s="2" t="s">
        <v>71</v>
      </c>
      <c r="C6" s="12">
        <v>508846100102</v>
      </c>
      <c r="D6" s="13" t="s">
        <v>77</v>
      </c>
      <c r="E6" s="14" t="s">
        <v>78</v>
      </c>
      <c r="F6" s="15" t="s">
        <v>79</v>
      </c>
      <c r="G6" s="2">
        <v>1</v>
      </c>
      <c r="H6" s="2">
        <v>1065</v>
      </c>
      <c r="I6" s="16">
        <v>1130.6500000000001</v>
      </c>
      <c r="J6" s="5">
        <f>G6*I6</f>
        <v>1130.6500000000001</v>
      </c>
      <c r="K6" s="18">
        <v>1130.6500000000001</v>
      </c>
      <c r="L6" s="7">
        <f t="shared" si="0"/>
        <v>2261.3000000000002</v>
      </c>
      <c r="M6" s="8" t="s">
        <v>28</v>
      </c>
      <c r="N6" s="9" t="s">
        <v>22</v>
      </c>
      <c r="O6" s="8" t="s">
        <v>40</v>
      </c>
      <c r="P6" s="18" t="s">
        <v>41</v>
      </c>
      <c r="Q6" s="8" t="s">
        <v>25</v>
      </c>
    </row>
    <row r="7" spans="1:17" ht="16.899999999999999" customHeight="1" x14ac:dyDescent="0.25">
      <c r="A7" s="1">
        <v>5</v>
      </c>
      <c r="B7" s="2" t="s">
        <v>80</v>
      </c>
      <c r="C7" s="3">
        <v>508742308604</v>
      </c>
      <c r="D7" s="2" t="s">
        <v>81</v>
      </c>
      <c r="E7" s="4" t="s">
        <v>82</v>
      </c>
      <c r="F7" s="5" t="s">
        <v>83</v>
      </c>
      <c r="G7" s="2">
        <v>200</v>
      </c>
      <c r="H7" s="2">
        <v>2340</v>
      </c>
      <c r="I7" s="6">
        <v>8.98</v>
      </c>
      <c r="J7" s="5">
        <f t="shared" ref="J7:J17" si="1">G7*I7</f>
        <v>1796</v>
      </c>
      <c r="K7" s="6">
        <v>1796</v>
      </c>
      <c r="L7" s="7">
        <f t="shared" si="0"/>
        <v>3592</v>
      </c>
      <c r="M7" s="8" t="s">
        <v>28</v>
      </c>
      <c r="N7" s="9" t="s">
        <v>22</v>
      </c>
      <c r="O7" s="8" t="s">
        <v>42</v>
      </c>
      <c r="P7" s="18" t="s">
        <v>43</v>
      </c>
      <c r="Q7" s="8" t="s">
        <v>25</v>
      </c>
    </row>
    <row r="8" spans="1:17" x14ac:dyDescent="0.25">
      <c r="A8" s="1">
        <v>6</v>
      </c>
      <c r="B8" s="2" t="s">
        <v>80</v>
      </c>
      <c r="C8" s="3">
        <v>3213560051</v>
      </c>
      <c r="D8" s="2" t="s">
        <v>81</v>
      </c>
      <c r="E8" s="14" t="s">
        <v>19</v>
      </c>
      <c r="F8" s="21" t="s">
        <v>84</v>
      </c>
      <c r="G8" s="2">
        <v>31</v>
      </c>
      <c r="H8" s="2">
        <v>1136</v>
      </c>
      <c r="I8" s="19">
        <v>8.98</v>
      </c>
      <c r="J8" s="5">
        <f t="shared" si="1"/>
        <v>278.38</v>
      </c>
      <c r="K8" s="23">
        <v>278.38</v>
      </c>
      <c r="L8" s="7">
        <f t="shared" si="0"/>
        <v>556.76</v>
      </c>
      <c r="M8" s="8" t="s">
        <v>28</v>
      </c>
      <c r="N8" s="18" t="s">
        <v>28</v>
      </c>
      <c r="O8" s="8" t="s">
        <v>47</v>
      </c>
      <c r="P8" s="18" t="s">
        <v>48</v>
      </c>
      <c r="Q8" s="8" t="s">
        <v>25</v>
      </c>
    </row>
    <row r="9" spans="1:17" ht="22.5" x14ac:dyDescent="0.25">
      <c r="A9" s="1">
        <v>7</v>
      </c>
      <c r="B9" s="2" t="s">
        <v>85</v>
      </c>
      <c r="C9" s="12">
        <v>281688520170</v>
      </c>
      <c r="D9" s="13" t="s">
        <v>86</v>
      </c>
      <c r="E9" s="14" t="s">
        <v>19</v>
      </c>
      <c r="F9" s="20" t="s">
        <v>87</v>
      </c>
      <c r="G9" s="2">
        <v>5</v>
      </c>
      <c r="H9" s="2">
        <v>150</v>
      </c>
      <c r="I9" s="24">
        <v>27.14</v>
      </c>
      <c r="J9" s="5">
        <f t="shared" si="1"/>
        <v>135.69999999999999</v>
      </c>
      <c r="K9" s="23">
        <v>135.69999999999999</v>
      </c>
      <c r="L9" s="7">
        <f t="shared" si="0"/>
        <v>271.39999999999998</v>
      </c>
      <c r="M9" s="8" t="s">
        <v>28</v>
      </c>
      <c r="N9" s="18" t="s">
        <v>52</v>
      </c>
      <c r="O9" s="8" t="s">
        <v>53</v>
      </c>
      <c r="P9" s="18" t="s">
        <v>54</v>
      </c>
      <c r="Q9" s="8" t="s">
        <v>25</v>
      </c>
    </row>
    <row r="10" spans="1:17" ht="22.5" x14ac:dyDescent="0.25">
      <c r="A10" s="1">
        <v>8</v>
      </c>
      <c r="B10" s="2" t="s">
        <v>85</v>
      </c>
      <c r="C10" s="12">
        <v>281688520169</v>
      </c>
      <c r="D10" s="13" t="s">
        <v>88</v>
      </c>
      <c r="E10" s="14" t="s">
        <v>19</v>
      </c>
      <c r="F10" s="20" t="s">
        <v>87</v>
      </c>
      <c r="G10" s="2">
        <v>17</v>
      </c>
      <c r="H10" s="2">
        <v>150</v>
      </c>
      <c r="I10" s="16">
        <v>27.14</v>
      </c>
      <c r="J10" s="5">
        <f t="shared" si="1"/>
        <v>461.38</v>
      </c>
      <c r="K10" s="18">
        <v>461.38</v>
      </c>
      <c r="L10" s="7">
        <f t="shared" si="0"/>
        <v>922.76</v>
      </c>
      <c r="M10" s="8" t="s">
        <v>28</v>
      </c>
      <c r="N10" s="9" t="s">
        <v>22</v>
      </c>
      <c r="O10" s="8" t="s">
        <v>56</v>
      </c>
      <c r="P10" s="18" t="s">
        <v>57</v>
      </c>
      <c r="Q10" s="8" t="s">
        <v>25</v>
      </c>
    </row>
    <row r="11" spans="1:17" s="32" customFormat="1" x14ac:dyDescent="0.25">
      <c r="A11" s="25">
        <v>9</v>
      </c>
      <c r="B11" s="13" t="s">
        <v>89</v>
      </c>
      <c r="C11" s="12">
        <v>500849108208</v>
      </c>
      <c r="D11" s="13" t="s">
        <v>90</v>
      </c>
      <c r="E11" s="26" t="s">
        <v>45</v>
      </c>
      <c r="F11" s="27" t="s">
        <v>91</v>
      </c>
      <c r="G11" s="13">
        <v>2</v>
      </c>
      <c r="H11" s="13">
        <v>15</v>
      </c>
      <c r="I11" s="28">
        <v>1303.96</v>
      </c>
      <c r="J11" s="29">
        <f t="shared" si="1"/>
        <v>2607.92</v>
      </c>
      <c r="K11" s="30">
        <v>2607.92</v>
      </c>
      <c r="L11" s="31">
        <f t="shared" si="0"/>
        <v>5215.84</v>
      </c>
      <c r="M11" s="8" t="s">
        <v>28</v>
      </c>
      <c r="N11" s="18" t="s">
        <v>61</v>
      </c>
      <c r="O11" s="8" t="s">
        <v>62</v>
      </c>
      <c r="P11" s="18" t="s">
        <v>63</v>
      </c>
      <c r="Q11" s="8" t="s">
        <v>25</v>
      </c>
    </row>
    <row r="12" spans="1:17" s="32" customFormat="1" x14ac:dyDescent="0.25">
      <c r="A12" s="33">
        <v>10</v>
      </c>
      <c r="B12" s="13" t="s">
        <v>89</v>
      </c>
      <c r="C12" s="12">
        <v>500849108207</v>
      </c>
      <c r="D12" s="13" t="s">
        <v>90</v>
      </c>
      <c r="E12" s="26" t="s">
        <v>45</v>
      </c>
      <c r="F12" s="27" t="s">
        <v>91</v>
      </c>
      <c r="G12" s="13">
        <v>1</v>
      </c>
      <c r="H12" s="13">
        <v>10</v>
      </c>
      <c r="I12" s="28">
        <v>412.8</v>
      </c>
      <c r="J12" s="29">
        <f t="shared" si="1"/>
        <v>412.8</v>
      </c>
      <c r="K12" s="30">
        <v>412.8</v>
      </c>
      <c r="L12" s="31">
        <f t="shared" si="0"/>
        <v>825.6</v>
      </c>
      <c r="M12" s="8" t="s">
        <v>28</v>
      </c>
      <c r="N12" s="18" t="s">
        <v>66</v>
      </c>
      <c r="O12" s="8" t="s">
        <v>67</v>
      </c>
      <c r="P12" s="18" t="s">
        <v>68</v>
      </c>
      <c r="Q12" s="8" t="s">
        <v>25</v>
      </c>
    </row>
    <row r="13" spans="1:17" ht="22.5" x14ac:dyDescent="0.25">
      <c r="A13" s="8">
        <v>11</v>
      </c>
      <c r="B13" s="2" t="s">
        <v>92</v>
      </c>
      <c r="C13" s="12">
        <v>508154400101</v>
      </c>
      <c r="D13" s="13" t="s">
        <v>93</v>
      </c>
      <c r="E13" s="14" t="s">
        <v>94</v>
      </c>
      <c r="F13" s="15" t="s">
        <v>95</v>
      </c>
      <c r="G13" s="2">
        <v>175</v>
      </c>
      <c r="H13" s="2">
        <v>400</v>
      </c>
      <c r="I13" s="16">
        <v>10.199999999999999</v>
      </c>
      <c r="J13" s="5">
        <f t="shared" si="1"/>
        <v>1784.9999999999998</v>
      </c>
      <c r="K13" s="18">
        <v>1785</v>
      </c>
      <c r="L13" s="7">
        <f t="shared" si="0"/>
        <v>3570</v>
      </c>
      <c r="M13" s="8" t="s">
        <v>21</v>
      </c>
      <c r="N13" s="7" t="s">
        <v>22</v>
      </c>
      <c r="O13" s="8" t="s">
        <v>23</v>
      </c>
      <c r="P13" s="10" t="s">
        <v>24</v>
      </c>
      <c r="Q13" s="8" t="s">
        <v>25</v>
      </c>
    </row>
    <row r="14" spans="1:17" ht="22.5" x14ac:dyDescent="0.25">
      <c r="A14" s="1">
        <v>12</v>
      </c>
      <c r="B14" s="2" t="s">
        <v>92</v>
      </c>
      <c r="C14" s="12">
        <v>508154400101</v>
      </c>
      <c r="D14" s="13" t="s">
        <v>93</v>
      </c>
      <c r="E14" s="14" t="s">
        <v>94</v>
      </c>
      <c r="F14" s="15" t="s">
        <v>95</v>
      </c>
      <c r="G14" s="2">
        <v>43</v>
      </c>
      <c r="H14" s="2">
        <v>400</v>
      </c>
      <c r="I14" s="16">
        <v>10.199999999999999</v>
      </c>
      <c r="J14" s="5">
        <f t="shared" si="1"/>
        <v>438.59999999999997</v>
      </c>
      <c r="K14" s="18">
        <v>438.6</v>
      </c>
      <c r="L14" s="7">
        <f t="shared" si="0"/>
        <v>877.2</v>
      </c>
      <c r="M14" s="8" t="s">
        <v>28</v>
      </c>
      <c r="N14" s="7" t="s">
        <v>22</v>
      </c>
      <c r="O14" s="8" t="s">
        <v>29</v>
      </c>
      <c r="P14" s="18" t="s">
        <v>30</v>
      </c>
      <c r="Q14" s="8" t="s">
        <v>25</v>
      </c>
    </row>
    <row r="15" spans="1:17" x14ac:dyDescent="0.25">
      <c r="A15" s="1">
        <v>13</v>
      </c>
      <c r="B15" s="2" t="s">
        <v>96</v>
      </c>
      <c r="C15" s="12">
        <v>500849108208</v>
      </c>
      <c r="D15" s="13" t="s">
        <v>90</v>
      </c>
      <c r="E15" s="14" t="s">
        <v>45</v>
      </c>
      <c r="F15" s="20" t="s">
        <v>91</v>
      </c>
      <c r="G15" s="2">
        <v>5</v>
      </c>
      <c r="H15" s="2">
        <v>15</v>
      </c>
      <c r="I15" s="19">
        <v>1303.96</v>
      </c>
      <c r="J15" s="5">
        <f t="shared" si="1"/>
        <v>6519.8</v>
      </c>
      <c r="K15" s="18">
        <v>6519.8</v>
      </c>
      <c r="L15" s="7">
        <f t="shared" si="0"/>
        <v>13039.6</v>
      </c>
      <c r="M15" s="8" t="s">
        <v>28</v>
      </c>
      <c r="N15" s="7" t="s">
        <v>22</v>
      </c>
      <c r="O15" s="8" t="s">
        <v>35</v>
      </c>
      <c r="P15" s="18" t="s">
        <v>36</v>
      </c>
      <c r="Q15" s="8" t="s">
        <v>25</v>
      </c>
    </row>
    <row r="16" spans="1:17" ht="22.5" x14ac:dyDescent="0.25">
      <c r="A16" s="11">
        <v>14</v>
      </c>
      <c r="B16" s="2" t="s">
        <v>97</v>
      </c>
      <c r="C16" s="12">
        <v>269126820109</v>
      </c>
      <c r="D16" s="13" t="s">
        <v>98</v>
      </c>
      <c r="E16" s="14" t="s">
        <v>99</v>
      </c>
      <c r="F16" s="20" t="s">
        <v>100</v>
      </c>
      <c r="G16" s="2">
        <v>100</v>
      </c>
      <c r="H16" s="2">
        <v>550</v>
      </c>
      <c r="I16" s="19">
        <v>71.489999999999995</v>
      </c>
      <c r="J16" s="5">
        <f t="shared" si="1"/>
        <v>7148.9999999999991</v>
      </c>
      <c r="K16" s="18">
        <v>7149</v>
      </c>
      <c r="L16" s="7">
        <f t="shared" si="0"/>
        <v>14298</v>
      </c>
      <c r="M16" s="8" t="s">
        <v>28</v>
      </c>
      <c r="N16" s="7" t="s">
        <v>22</v>
      </c>
      <c r="O16" s="8" t="s">
        <v>40</v>
      </c>
      <c r="P16" s="18" t="s">
        <v>41</v>
      </c>
      <c r="Q16" s="8" t="s">
        <v>25</v>
      </c>
    </row>
    <row r="17" spans="1:17" ht="22.5" x14ac:dyDescent="0.25">
      <c r="A17" s="8">
        <v>15</v>
      </c>
      <c r="B17" s="2" t="s">
        <v>97</v>
      </c>
      <c r="C17" s="12">
        <v>269126820109</v>
      </c>
      <c r="D17" s="13" t="s">
        <v>98</v>
      </c>
      <c r="E17" s="14" t="s">
        <v>99</v>
      </c>
      <c r="F17" s="20" t="s">
        <v>100</v>
      </c>
      <c r="G17" s="2">
        <v>50</v>
      </c>
      <c r="H17" s="2">
        <v>550</v>
      </c>
      <c r="I17" s="19">
        <v>71.489999999999995</v>
      </c>
      <c r="J17" s="5">
        <f t="shared" si="1"/>
        <v>3574.4999999999995</v>
      </c>
      <c r="K17" s="18">
        <v>71.489999999999995</v>
      </c>
      <c r="L17" s="7">
        <f t="shared" si="0"/>
        <v>3645.9899999999993</v>
      </c>
      <c r="M17" s="8" t="s">
        <v>28</v>
      </c>
      <c r="N17" s="7" t="s">
        <v>22</v>
      </c>
      <c r="O17" s="8" t="s">
        <v>42</v>
      </c>
      <c r="P17" s="18" t="s">
        <v>43</v>
      </c>
      <c r="Q17" s="8" t="s">
        <v>25</v>
      </c>
    </row>
  </sheetData>
  <mergeCells count="17">
    <mergeCell ref="M1:M2"/>
    <mergeCell ref="N1:N2"/>
    <mergeCell ref="O1:O2"/>
    <mergeCell ref="P1:P2"/>
    <mergeCell ref="Q1:Q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B62A-E1BE-4DC0-A684-AAC5BA0E4233}">
  <dimension ref="A1:Q12"/>
  <sheetViews>
    <sheetView workbookViewId="0">
      <selection activeCell="D3" sqref="D3"/>
    </sheetView>
  </sheetViews>
  <sheetFormatPr defaultRowHeight="15" x14ac:dyDescent="0.25"/>
  <cols>
    <col min="1" max="1" width="9.28515625" bestFit="1" customWidth="1"/>
    <col min="2" max="2" width="11.85546875" customWidth="1"/>
    <col min="3" max="3" width="16.85546875" bestFit="1" customWidth="1"/>
    <col min="4" max="4" width="16.42578125" customWidth="1"/>
    <col min="5" max="5" width="17.7109375" customWidth="1"/>
    <col min="6" max="6" width="35.42578125" customWidth="1"/>
    <col min="7" max="7" width="19.42578125" customWidth="1"/>
    <col min="8" max="8" width="15.5703125" customWidth="1"/>
    <col min="9" max="9" width="17.7109375" customWidth="1"/>
    <col min="10" max="10" width="16.85546875" customWidth="1"/>
    <col min="11" max="11" width="12.140625" customWidth="1"/>
    <col min="12" max="12" width="20" customWidth="1"/>
    <col min="13" max="13" width="18" customWidth="1"/>
    <col min="14" max="14" width="18.85546875" customWidth="1"/>
    <col min="15" max="15" width="14.28515625" customWidth="1"/>
    <col min="16" max="16" width="11.5703125" customWidth="1"/>
    <col min="17" max="17" width="16.5703125" customWidth="1"/>
  </cols>
  <sheetData>
    <row r="1" spans="1:17" ht="21" customHeight="1" x14ac:dyDescent="0.25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59" t="s">
        <v>9</v>
      </c>
      <c r="K1" s="61" t="s">
        <v>10</v>
      </c>
      <c r="L1" s="59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</row>
    <row r="2" spans="1:17" ht="21.6" customHeight="1" x14ac:dyDescent="0.25">
      <c r="A2" s="62"/>
      <c r="B2" s="62"/>
      <c r="C2" s="62"/>
      <c r="D2" s="62"/>
      <c r="E2" s="62"/>
      <c r="F2" s="63"/>
      <c r="G2" s="62"/>
      <c r="H2" s="62"/>
      <c r="I2" s="62"/>
      <c r="J2" s="60"/>
      <c r="K2" s="62"/>
      <c r="L2" s="60"/>
      <c r="M2" s="63"/>
      <c r="N2" s="63"/>
      <c r="O2" s="63"/>
      <c r="P2" s="62"/>
      <c r="Q2" s="63"/>
    </row>
    <row r="3" spans="1:17" ht="22.5" x14ac:dyDescent="0.25">
      <c r="A3" s="1">
        <v>1</v>
      </c>
      <c r="B3" s="2" t="s">
        <v>17</v>
      </c>
      <c r="C3" s="3">
        <v>508846100102</v>
      </c>
      <c r="D3" s="2" t="s">
        <v>18</v>
      </c>
      <c r="E3" s="4" t="s">
        <v>19</v>
      </c>
      <c r="F3" s="5" t="s">
        <v>20</v>
      </c>
      <c r="G3" s="2">
        <v>145</v>
      </c>
      <c r="H3" s="2">
        <v>1203</v>
      </c>
      <c r="I3" s="6">
        <v>1550.98</v>
      </c>
      <c r="J3" s="5">
        <f>G3*I3</f>
        <v>224892.1</v>
      </c>
      <c r="K3" s="6">
        <v>224892</v>
      </c>
      <c r="L3" s="7">
        <f>K3+J3</f>
        <v>449784.1</v>
      </c>
      <c r="M3" s="8" t="s">
        <v>21</v>
      </c>
      <c r="N3" s="7" t="s">
        <v>22</v>
      </c>
      <c r="O3" s="8" t="s">
        <v>23</v>
      </c>
      <c r="P3" s="10" t="s">
        <v>24</v>
      </c>
      <c r="Q3" s="8" t="s">
        <v>25</v>
      </c>
    </row>
    <row r="4" spans="1:17" ht="22.5" x14ac:dyDescent="0.25">
      <c r="A4" s="11">
        <v>2</v>
      </c>
      <c r="B4" s="2" t="s">
        <v>17</v>
      </c>
      <c r="C4" s="12">
        <v>268089100125</v>
      </c>
      <c r="D4" s="13" t="s">
        <v>26</v>
      </c>
      <c r="E4" s="14" t="s">
        <v>19</v>
      </c>
      <c r="F4" s="15" t="s">
        <v>27</v>
      </c>
      <c r="G4" s="2">
        <v>1</v>
      </c>
      <c r="H4" s="2">
        <v>2003</v>
      </c>
      <c r="I4" s="16">
        <v>479.15</v>
      </c>
      <c r="J4" s="5">
        <f t="shared" ref="J4:J12" si="0">G4*I4</f>
        <v>479.15</v>
      </c>
      <c r="K4" s="17">
        <v>479.15</v>
      </c>
      <c r="L4" s="7">
        <f t="shared" ref="L4:L12" si="1">K4+J4</f>
        <v>958.3</v>
      </c>
      <c r="M4" s="8" t="s">
        <v>28</v>
      </c>
      <c r="N4" s="7" t="s">
        <v>22</v>
      </c>
      <c r="O4" s="8" t="s">
        <v>29</v>
      </c>
      <c r="P4" s="18" t="s">
        <v>30</v>
      </c>
      <c r="Q4" s="8" t="s">
        <v>25</v>
      </c>
    </row>
    <row r="5" spans="1:17" ht="25.5" x14ac:dyDescent="0.25">
      <c r="A5" s="8">
        <v>3</v>
      </c>
      <c r="B5" s="2" t="s">
        <v>31</v>
      </c>
      <c r="C5" s="12">
        <v>556080900167</v>
      </c>
      <c r="D5" s="13" t="s">
        <v>32</v>
      </c>
      <c r="E5" s="14" t="s">
        <v>33</v>
      </c>
      <c r="F5" s="15" t="s">
        <v>34</v>
      </c>
      <c r="G5" s="2">
        <v>2</v>
      </c>
      <c r="H5" s="2">
        <v>2</v>
      </c>
      <c r="I5" s="16">
        <v>85.31</v>
      </c>
      <c r="J5" s="5">
        <f t="shared" si="0"/>
        <v>170.62</v>
      </c>
      <c r="K5" s="17">
        <v>170.62</v>
      </c>
      <c r="L5" s="7">
        <f t="shared" si="1"/>
        <v>341.24</v>
      </c>
      <c r="M5" s="8" t="s">
        <v>28</v>
      </c>
      <c r="N5" s="7" t="s">
        <v>22</v>
      </c>
      <c r="O5" s="8" t="s">
        <v>35</v>
      </c>
      <c r="P5" s="18" t="s">
        <v>36</v>
      </c>
      <c r="Q5" s="8" t="s">
        <v>25</v>
      </c>
    </row>
    <row r="6" spans="1:17" x14ac:dyDescent="0.25">
      <c r="A6" s="1">
        <v>4</v>
      </c>
      <c r="B6" s="2" t="s">
        <v>31</v>
      </c>
      <c r="C6" s="12">
        <v>41034760380192</v>
      </c>
      <c r="D6" s="13" t="s">
        <v>37</v>
      </c>
      <c r="E6" s="14" t="s">
        <v>38</v>
      </c>
      <c r="F6" s="15" t="s">
        <v>39</v>
      </c>
      <c r="G6" s="2">
        <v>9</v>
      </c>
      <c r="H6" s="2">
        <v>20</v>
      </c>
      <c r="I6" s="19">
        <v>302.48</v>
      </c>
      <c r="J6" s="5">
        <f t="shared" si="0"/>
        <v>2722.32</v>
      </c>
      <c r="K6" s="18">
        <v>2722.32</v>
      </c>
      <c r="L6" s="7">
        <f t="shared" si="1"/>
        <v>5444.64</v>
      </c>
      <c r="M6" s="8" t="s">
        <v>28</v>
      </c>
      <c r="N6" s="7" t="s">
        <v>22</v>
      </c>
      <c r="O6" s="8" t="s">
        <v>40</v>
      </c>
      <c r="P6" s="18" t="s">
        <v>41</v>
      </c>
      <c r="Q6" s="8" t="s">
        <v>25</v>
      </c>
    </row>
    <row r="7" spans="1:17" x14ac:dyDescent="0.25">
      <c r="A7" s="1">
        <v>5</v>
      </c>
      <c r="B7" s="2" t="s">
        <v>31</v>
      </c>
      <c r="C7" s="12">
        <v>41034760380192</v>
      </c>
      <c r="D7" s="13" t="s">
        <v>37</v>
      </c>
      <c r="E7" s="14" t="s">
        <v>38</v>
      </c>
      <c r="F7" s="15" t="s">
        <v>39</v>
      </c>
      <c r="G7" s="2">
        <v>3</v>
      </c>
      <c r="H7" s="2">
        <v>20</v>
      </c>
      <c r="I7" s="16">
        <v>302.48</v>
      </c>
      <c r="J7" s="5">
        <f t="shared" si="0"/>
        <v>907.44</v>
      </c>
      <c r="K7" s="18">
        <v>907.44</v>
      </c>
      <c r="L7" s="7">
        <f t="shared" si="1"/>
        <v>1814.88</v>
      </c>
      <c r="M7" s="8" t="s">
        <v>28</v>
      </c>
      <c r="N7" s="7" t="s">
        <v>22</v>
      </c>
      <c r="O7" s="8" t="s">
        <v>42</v>
      </c>
      <c r="P7" s="18" t="s">
        <v>43</v>
      </c>
      <c r="Q7" s="8" t="s">
        <v>25</v>
      </c>
    </row>
    <row r="8" spans="1:17" x14ac:dyDescent="0.25">
      <c r="A8" s="11">
        <v>6</v>
      </c>
      <c r="B8" s="2" t="s">
        <v>31</v>
      </c>
      <c r="C8" s="12">
        <v>500846108208</v>
      </c>
      <c r="D8" s="13" t="s">
        <v>44</v>
      </c>
      <c r="E8" s="14" t="s">
        <v>45</v>
      </c>
      <c r="F8" s="20" t="s">
        <v>46</v>
      </c>
      <c r="G8" s="2">
        <v>2</v>
      </c>
      <c r="H8" s="2">
        <v>0</v>
      </c>
      <c r="I8" s="19">
        <v>1303.3599999999999</v>
      </c>
      <c r="J8" s="5">
        <f t="shared" si="0"/>
        <v>2606.7199999999998</v>
      </c>
      <c r="K8" s="18">
        <v>2606.7199999999998</v>
      </c>
      <c r="L8" s="7">
        <f t="shared" si="1"/>
        <v>5213.4399999999996</v>
      </c>
      <c r="M8" s="8" t="s">
        <v>28</v>
      </c>
      <c r="N8" s="18" t="s">
        <v>28</v>
      </c>
      <c r="O8" s="8" t="s">
        <v>47</v>
      </c>
      <c r="P8" s="18" t="s">
        <v>48</v>
      </c>
      <c r="Q8" s="8" t="s">
        <v>25</v>
      </c>
    </row>
    <row r="9" spans="1:17" ht="22.5" x14ac:dyDescent="0.25">
      <c r="A9" s="8">
        <v>7</v>
      </c>
      <c r="B9" s="2" t="s">
        <v>49</v>
      </c>
      <c r="C9" s="12">
        <v>25744600012960</v>
      </c>
      <c r="D9" s="13" t="s">
        <v>50</v>
      </c>
      <c r="E9" s="14" t="s">
        <v>19</v>
      </c>
      <c r="F9" s="20" t="s">
        <v>51</v>
      </c>
      <c r="G9" s="2">
        <v>1</v>
      </c>
      <c r="H9" s="2">
        <v>0</v>
      </c>
      <c r="I9" s="19">
        <v>918.35</v>
      </c>
      <c r="J9" s="5">
        <f t="shared" si="0"/>
        <v>918.35</v>
      </c>
      <c r="K9" s="18">
        <v>918.35</v>
      </c>
      <c r="L9" s="7">
        <f t="shared" si="1"/>
        <v>1836.7</v>
      </c>
      <c r="M9" s="8" t="s">
        <v>28</v>
      </c>
      <c r="N9" s="18" t="s">
        <v>52</v>
      </c>
      <c r="O9" s="8" t="s">
        <v>53</v>
      </c>
      <c r="P9" s="18" t="s">
        <v>54</v>
      </c>
      <c r="Q9" s="8" t="s">
        <v>25</v>
      </c>
    </row>
    <row r="10" spans="1:17" ht="22.5" x14ac:dyDescent="0.25">
      <c r="A10" s="8">
        <v>8</v>
      </c>
      <c r="B10" s="2" t="s">
        <v>55</v>
      </c>
      <c r="C10" s="12">
        <v>508846100107</v>
      </c>
      <c r="D10" s="13" t="s">
        <v>18</v>
      </c>
      <c r="E10" s="14" t="s">
        <v>19</v>
      </c>
      <c r="F10" s="5" t="s">
        <v>20</v>
      </c>
      <c r="G10" s="2">
        <v>8</v>
      </c>
      <c r="H10" s="2">
        <v>840</v>
      </c>
      <c r="I10" s="19">
        <v>1216.45</v>
      </c>
      <c r="J10" s="5">
        <f t="shared" si="0"/>
        <v>9731.6</v>
      </c>
      <c r="K10" s="18">
        <v>9731.6</v>
      </c>
      <c r="L10" s="7">
        <f t="shared" si="1"/>
        <v>19463.2</v>
      </c>
      <c r="M10" s="8" t="s">
        <v>28</v>
      </c>
      <c r="N10" s="9" t="s">
        <v>22</v>
      </c>
      <c r="O10" s="8" t="s">
        <v>56</v>
      </c>
      <c r="P10" s="18" t="s">
        <v>57</v>
      </c>
      <c r="Q10" s="8" t="s">
        <v>25</v>
      </c>
    </row>
    <row r="11" spans="1:17" x14ac:dyDescent="0.25">
      <c r="A11" s="1">
        <v>9</v>
      </c>
      <c r="B11" s="2" t="s">
        <v>69</v>
      </c>
      <c r="C11" s="3" t="s">
        <v>58</v>
      </c>
      <c r="D11" s="2" t="s">
        <v>59</v>
      </c>
      <c r="E11" s="4" t="s">
        <v>60</v>
      </c>
      <c r="F11" s="5" t="s">
        <v>60</v>
      </c>
      <c r="G11" s="21">
        <v>13</v>
      </c>
      <c r="H11" s="22">
        <v>1488</v>
      </c>
      <c r="I11" s="19">
        <v>1550.98</v>
      </c>
      <c r="J11" s="5">
        <f t="shared" si="0"/>
        <v>20162.740000000002</v>
      </c>
      <c r="K11" s="18">
        <v>20162.740000000002</v>
      </c>
      <c r="L11" s="7">
        <f t="shared" si="1"/>
        <v>40325.480000000003</v>
      </c>
      <c r="M11" s="8" t="s">
        <v>28</v>
      </c>
      <c r="N11" s="18" t="s">
        <v>61</v>
      </c>
      <c r="O11" s="8" t="s">
        <v>62</v>
      </c>
      <c r="P11" s="18" t="s">
        <v>63</v>
      </c>
      <c r="Q11" s="8" t="s">
        <v>25</v>
      </c>
    </row>
    <row r="12" spans="1:17" x14ac:dyDescent="0.25">
      <c r="A12" s="1">
        <v>10</v>
      </c>
      <c r="B12" s="2" t="s">
        <v>69</v>
      </c>
      <c r="C12" s="3" t="s">
        <v>58</v>
      </c>
      <c r="D12" s="2" t="s">
        <v>59</v>
      </c>
      <c r="E12" s="4" t="s">
        <v>64</v>
      </c>
      <c r="F12" s="5" t="s">
        <v>65</v>
      </c>
      <c r="G12" s="21">
        <v>1</v>
      </c>
      <c r="H12" s="22">
        <v>1488</v>
      </c>
      <c r="I12" s="19">
        <v>1550.98</v>
      </c>
      <c r="J12" s="5">
        <f t="shared" si="0"/>
        <v>1550.98</v>
      </c>
      <c r="K12" s="18">
        <v>1550.98</v>
      </c>
      <c r="L12" s="7">
        <f t="shared" si="1"/>
        <v>3101.96</v>
      </c>
      <c r="M12" s="8" t="s">
        <v>28</v>
      </c>
      <c r="N12" s="18" t="s">
        <v>66</v>
      </c>
      <c r="O12" s="8" t="s">
        <v>67</v>
      </c>
      <c r="P12" s="18" t="s">
        <v>68</v>
      </c>
      <c r="Q12" s="8" t="s">
        <v>25</v>
      </c>
    </row>
  </sheetData>
  <mergeCells count="17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M1:M2"/>
    <mergeCell ref="N1:N2"/>
    <mergeCell ref="O1:O2"/>
    <mergeCell ref="P1:P2"/>
    <mergeCell ref="Q1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workbookViewId="0">
      <selection activeCell="F7" sqref="F7"/>
    </sheetView>
  </sheetViews>
  <sheetFormatPr defaultRowHeight="15" x14ac:dyDescent="0.25"/>
  <cols>
    <col min="1" max="1" width="9.28515625" bestFit="1" customWidth="1"/>
    <col min="2" max="2" width="11.85546875" customWidth="1"/>
    <col min="3" max="3" width="16.85546875" bestFit="1" customWidth="1"/>
    <col min="4" max="4" width="16.42578125" customWidth="1"/>
    <col min="5" max="5" width="17.7109375" customWidth="1"/>
    <col min="6" max="6" width="35.42578125" customWidth="1"/>
    <col min="7" max="7" width="19.42578125" customWidth="1"/>
    <col min="8" max="8" width="15.5703125" customWidth="1"/>
    <col min="9" max="9" width="17.7109375" customWidth="1"/>
    <col min="10" max="10" width="16.85546875" customWidth="1"/>
    <col min="11" max="11" width="12.140625" customWidth="1"/>
    <col min="12" max="12" width="20" customWidth="1"/>
    <col min="13" max="13" width="18" customWidth="1"/>
    <col min="14" max="14" width="18.85546875" customWidth="1"/>
    <col min="15" max="15" width="14.28515625" customWidth="1"/>
    <col min="16" max="16" width="13.28515625" customWidth="1"/>
    <col min="17" max="17" width="16.5703125" customWidth="1"/>
  </cols>
  <sheetData>
    <row r="1" spans="1:17" ht="21" customHeight="1" x14ac:dyDescent="0.25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59" t="s">
        <v>9</v>
      </c>
      <c r="K1" s="61" t="s">
        <v>10</v>
      </c>
      <c r="L1" s="59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</row>
    <row r="2" spans="1:17" ht="21.6" customHeight="1" x14ac:dyDescent="0.25">
      <c r="A2" s="62"/>
      <c r="B2" s="62"/>
      <c r="C2" s="62"/>
      <c r="D2" s="62"/>
      <c r="E2" s="62"/>
      <c r="F2" s="63"/>
      <c r="G2" s="62"/>
      <c r="H2" s="62"/>
      <c r="I2" s="62"/>
      <c r="J2" s="60"/>
      <c r="K2" s="62"/>
      <c r="L2" s="60"/>
      <c r="M2" s="63"/>
      <c r="N2" s="63"/>
      <c r="O2" s="63"/>
      <c r="P2" s="63"/>
      <c r="Q2" s="63"/>
    </row>
    <row r="3" spans="1:17" x14ac:dyDescent="0.25">
      <c r="A3" s="1">
        <v>1</v>
      </c>
      <c r="B3" s="2" t="s">
        <v>101</v>
      </c>
      <c r="C3" s="3">
        <v>5156477700101</v>
      </c>
      <c r="D3" s="2" t="s">
        <v>102</v>
      </c>
      <c r="E3" s="4" t="s">
        <v>103</v>
      </c>
      <c r="F3" s="5" t="s">
        <v>103</v>
      </c>
      <c r="G3" s="2">
        <v>200</v>
      </c>
      <c r="H3" s="2">
        <v>2857</v>
      </c>
      <c r="I3" s="10">
        <v>168.86</v>
      </c>
      <c r="J3" s="5">
        <f>G3*I3</f>
        <v>33772</v>
      </c>
      <c r="K3" s="6">
        <v>33772</v>
      </c>
      <c r="L3" s="7">
        <f>K3+J3</f>
        <v>67544</v>
      </c>
      <c r="M3" s="8" t="s">
        <v>106</v>
      </c>
      <c r="N3" s="7" t="s">
        <v>106</v>
      </c>
      <c r="O3" s="8" t="s">
        <v>23</v>
      </c>
      <c r="P3" s="8" t="s">
        <v>109</v>
      </c>
      <c r="Q3" s="8" t="s">
        <v>25</v>
      </c>
    </row>
    <row r="4" spans="1:17" ht="24.75" customHeight="1" x14ac:dyDescent="0.25">
      <c r="A4" s="11">
        <v>2</v>
      </c>
      <c r="B4" s="2" t="s">
        <v>101</v>
      </c>
      <c r="C4" s="3">
        <v>5156477700101</v>
      </c>
      <c r="D4" s="2" t="s">
        <v>102</v>
      </c>
      <c r="E4" s="4" t="s">
        <v>104</v>
      </c>
      <c r="F4" s="15" t="s">
        <v>105</v>
      </c>
      <c r="G4" s="2">
        <v>110</v>
      </c>
      <c r="H4" s="2">
        <v>2857</v>
      </c>
      <c r="I4" s="16">
        <v>168.86</v>
      </c>
      <c r="J4" s="5">
        <f>G4*I4</f>
        <v>18574.600000000002</v>
      </c>
      <c r="K4" s="17">
        <v>18574.599999999999</v>
      </c>
      <c r="L4" s="7">
        <f t="shared" ref="L4" si="0">K4+J4</f>
        <v>37149.199999999997</v>
      </c>
      <c r="M4" s="8" t="s">
        <v>107</v>
      </c>
      <c r="N4" s="7" t="s">
        <v>22</v>
      </c>
      <c r="O4" s="8" t="s">
        <v>23</v>
      </c>
      <c r="P4" s="8" t="s">
        <v>108</v>
      </c>
      <c r="Q4" s="8" t="s">
        <v>25</v>
      </c>
    </row>
    <row r="5" spans="1:17" x14ac:dyDescent="0.25">
      <c r="A5" s="8"/>
      <c r="B5" s="2"/>
      <c r="C5" s="12"/>
      <c r="D5" s="13"/>
      <c r="E5" s="14"/>
      <c r="F5" s="15"/>
      <c r="G5" s="2"/>
      <c r="H5" s="2"/>
      <c r="I5" s="16"/>
      <c r="J5" s="5"/>
      <c r="K5" s="17"/>
      <c r="L5" s="7"/>
      <c r="M5" s="8"/>
      <c r="N5" s="7"/>
      <c r="O5" s="8"/>
      <c r="P5" s="18"/>
      <c r="Q5" s="8"/>
    </row>
    <row r="6" spans="1:17" x14ac:dyDescent="0.25">
      <c r="A6" s="1"/>
      <c r="B6" s="2"/>
      <c r="C6" s="12"/>
      <c r="D6" s="13"/>
      <c r="E6" s="14"/>
      <c r="F6" s="15"/>
      <c r="G6" s="2"/>
      <c r="H6" s="2"/>
      <c r="I6" s="19"/>
      <c r="J6" s="5"/>
      <c r="K6" s="18"/>
      <c r="L6" s="7"/>
      <c r="M6" s="8"/>
      <c r="N6" s="7"/>
      <c r="O6" s="8"/>
      <c r="P6" s="18"/>
      <c r="Q6" s="8"/>
    </row>
    <row r="7" spans="1:17" x14ac:dyDescent="0.25">
      <c r="A7" s="1"/>
      <c r="B7" s="2"/>
      <c r="C7" s="12"/>
      <c r="D7" s="13"/>
      <c r="E7" s="14"/>
      <c r="F7" s="15"/>
      <c r="G7" s="2"/>
      <c r="H7" s="2"/>
      <c r="I7" s="16"/>
      <c r="J7" s="5"/>
      <c r="K7" s="18"/>
      <c r="L7" s="7"/>
      <c r="M7" s="8"/>
      <c r="N7" s="7"/>
      <c r="O7" s="8"/>
      <c r="P7" s="18"/>
      <c r="Q7" s="8"/>
    </row>
    <row r="8" spans="1:17" x14ac:dyDescent="0.25">
      <c r="A8" s="11"/>
      <c r="B8" s="2"/>
      <c r="C8" s="12"/>
      <c r="D8" s="13"/>
      <c r="E8" s="14"/>
      <c r="F8" s="20"/>
      <c r="G8" s="2"/>
      <c r="H8" s="2"/>
      <c r="I8" s="19"/>
      <c r="J8" s="5"/>
      <c r="K8" s="18"/>
      <c r="L8" s="7"/>
      <c r="M8" s="8"/>
      <c r="N8" s="18"/>
      <c r="O8" s="8"/>
      <c r="P8" s="18"/>
      <c r="Q8" s="8"/>
    </row>
    <row r="9" spans="1:17" x14ac:dyDescent="0.25">
      <c r="A9" s="8"/>
      <c r="B9" s="2"/>
      <c r="C9" s="12"/>
      <c r="D9" s="13"/>
      <c r="E9" s="14"/>
      <c r="F9" s="20"/>
      <c r="G9" s="2"/>
      <c r="H9" s="2"/>
      <c r="I9" s="19"/>
      <c r="J9" s="5"/>
      <c r="K9" s="18"/>
      <c r="L9" s="7"/>
      <c r="M9" s="8"/>
      <c r="N9" s="18"/>
      <c r="O9" s="8"/>
      <c r="P9" s="18"/>
      <c r="Q9" s="8"/>
    </row>
    <row r="10" spans="1:17" x14ac:dyDescent="0.25">
      <c r="A10" s="8"/>
      <c r="B10" s="2"/>
      <c r="C10" s="12"/>
      <c r="D10" s="13"/>
      <c r="E10" s="14"/>
      <c r="F10" s="5"/>
      <c r="G10" s="2"/>
      <c r="H10" s="2"/>
      <c r="I10" s="19"/>
      <c r="J10" s="5"/>
      <c r="K10" s="18"/>
      <c r="L10" s="7"/>
      <c r="M10" s="8"/>
      <c r="N10" s="9"/>
      <c r="O10" s="8"/>
      <c r="P10" s="18"/>
      <c r="Q10" s="8"/>
    </row>
    <row r="11" spans="1:17" x14ac:dyDescent="0.25">
      <c r="A11" s="1"/>
      <c r="B11" s="2"/>
      <c r="C11" s="3"/>
      <c r="D11" s="2"/>
      <c r="E11" s="4"/>
      <c r="F11" s="5"/>
      <c r="G11" s="21"/>
      <c r="H11" s="22"/>
      <c r="I11" s="19"/>
      <c r="J11" s="5"/>
      <c r="K11" s="18"/>
      <c r="L11" s="7"/>
      <c r="M11" s="8"/>
      <c r="N11" s="18"/>
      <c r="O11" s="8"/>
      <c r="P11" s="18"/>
      <c r="Q11" s="8"/>
    </row>
    <row r="12" spans="1:17" x14ac:dyDescent="0.25">
      <c r="A12" s="1"/>
      <c r="B12" s="2"/>
      <c r="C12" s="3"/>
      <c r="D12" s="2"/>
      <c r="E12" s="4"/>
      <c r="F12" s="5"/>
      <c r="G12" s="21"/>
      <c r="H12" s="22"/>
      <c r="I12" s="19"/>
      <c r="J12" s="5"/>
      <c r="K12" s="18"/>
      <c r="L12" s="7"/>
      <c r="M12" s="8"/>
      <c r="N12" s="18"/>
      <c r="O12" s="8"/>
      <c r="P12" s="18"/>
      <c r="Q12" s="8"/>
    </row>
  </sheetData>
  <mergeCells count="17">
    <mergeCell ref="M1:M2"/>
    <mergeCell ref="N1:N2"/>
    <mergeCell ref="O1:O2"/>
    <mergeCell ref="P1:P2"/>
    <mergeCell ref="Q1:Q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64E15-010C-428C-8B25-AFFE834CB805}">
  <dimension ref="A1:Q12"/>
  <sheetViews>
    <sheetView workbookViewId="0">
      <selection activeCell="D16" sqref="D16"/>
    </sheetView>
  </sheetViews>
  <sheetFormatPr defaultRowHeight="15" x14ac:dyDescent="0.25"/>
  <cols>
    <col min="1" max="1" width="9.28515625" bestFit="1" customWidth="1"/>
    <col min="2" max="2" width="11.85546875" customWidth="1"/>
    <col min="3" max="3" width="16.85546875" bestFit="1" customWidth="1"/>
    <col min="4" max="4" width="16.42578125" customWidth="1"/>
    <col min="5" max="5" width="17.7109375" customWidth="1"/>
    <col min="6" max="6" width="35.42578125" customWidth="1"/>
    <col min="7" max="7" width="19.42578125" customWidth="1"/>
    <col min="8" max="8" width="15.5703125" customWidth="1"/>
    <col min="9" max="9" width="17.7109375" customWidth="1"/>
    <col min="10" max="10" width="16.85546875" customWidth="1"/>
    <col min="11" max="11" width="12.140625" customWidth="1"/>
    <col min="12" max="12" width="20" customWidth="1"/>
    <col min="13" max="13" width="18" customWidth="1"/>
    <col min="14" max="14" width="18.85546875" customWidth="1"/>
    <col min="15" max="15" width="14.28515625" customWidth="1"/>
    <col min="16" max="16" width="13.28515625" customWidth="1"/>
    <col min="17" max="17" width="16.5703125" customWidth="1"/>
  </cols>
  <sheetData>
    <row r="1" spans="1:17" ht="21" customHeight="1" x14ac:dyDescent="0.25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59" t="s">
        <v>9</v>
      </c>
      <c r="K1" s="61" t="s">
        <v>10</v>
      </c>
      <c r="L1" s="59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</row>
    <row r="2" spans="1:17" ht="21.6" customHeight="1" x14ac:dyDescent="0.25">
      <c r="A2" s="62"/>
      <c r="B2" s="62"/>
      <c r="C2" s="62"/>
      <c r="D2" s="62"/>
      <c r="E2" s="62"/>
      <c r="F2" s="63"/>
      <c r="G2" s="62"/>
      <c r="H2" s="62"/>
      <c r="I2" s="62"/>
      <c r="J2" s="60"/>
      <c r="K2" s="62"/>
      <c r="L2" s="60"/>
      <c r="M2" s="63"/>
      <c r="N2" s="63"/>
      <c r="O2" s="63"/>
      <c r="P2" s="63"/>
      <c r="Q2" s="63"/>
    </row>
    <row r="3" spans="1:17" ht="22.5" x14ac:dyDescent="0.25">
      <c r="A3" s="1">
        <v>1</v>
      </c>
      <c r="B3" s="2" t="s">
        <v>110</v>
      </c>
      <c r="C3" s="3">
        <v>503931307168</v>
      </c>
      <c r="D3" s="2" t="s">
        <v>111</v>
      </c>
      <c r="E3" s="4" t="s">
        <v>113</v>
      </c>
      <c r="F3" s="5" t="s">
        <v>113</v>
      </c>
      <c r="G3" s="2">
        <v>150</v>
      </c>
      <c r="H3" s="2">
        <v>250</v>
      </c>
      <c r="I3" s="10">
        <v>185.27</v>
      </c>
      <c r="J3" s="5">
        <f>G3*I3</f>
        <v>27790.5</v>
      </c>
      <c r="K3" s="34">
        <v>30056.38</v>
      </c>
      <c r="L3" s="7">
        <f>K3+J3</f>
        <v>57846.880000000005</v>
      </c>
      <c r="M3" s="8" t="s">
        <v>106</v>
      </c>
      <c r="N3" s="7" t="s">
        <v>106</v>
      </c>
      <c r="O3" s="8" t="s">
        <v>23</v>
      </c>
      <c r="P3" s="8" t="s">
        <v>109</v>
      </c>
      <c r="Q3" s="8" t="s">
        <v>25</v>
      </c>
    </row>
    <row r="4" spans="1:17" ht="24.75" customHeight="1" x14ac:dyDescent="0.25">
      <c r="A4" s="11">
        <v>2</v>
      </c>
      <c r="B4" s="2" t="s">
        <v>110</v>
      </c>
      <c r="C4" s="3">
        <v>503931307169</v>
      </c>
      <c r="D4" s="2" t="s">
        <v>112</v>
      </c>
      <c r="E4" s="4" t="s">
        <v>113</v>
      </c>
      <c r="F4" s="5" t="s">
        <v>113</v>
      </c>
      <c r="G4" s="2">
        <v>150</v>
      </c>
      <c r="H4" s="2">
        <v>250</v>
      </c>
      <c r="I4" s="16">
        <v>185.27</v>
      </c>
      <c r="J4" s="5">
        <f>G4*I4</f>
        <v>27790.5</v>
      </c>
      <c r="K4" s="17">
        <v>30056.38</v>
      </c>
      <c r="L4" s="7">
        <f t="shared" ref="L4" si="0">K4+J4</f>
        <v>57846.880000000005</v>
      </c>
      <c r="M4" s="8" t="s">
        <v>107</v>
      </c>
      <c r="N4" s="7" t="s">
        <v>22</v>
      </c>
      <c r="O4" s="8" t="s">
        <v>23</v>
      </c>
      <c r="P4" s="8" t="s">
        <v>108</v>
      </c>
      <c r="Q4" s="8" t="s">
        <v>25</v>
      </c>
    </row>
    <row r="5" spans="1:17" x14ac:dyDescent="0.25">
      <c r="A5" s="8"/>
      <c r="B5" s="2"/>
      <c r="C5" s="12"/>
      <c r="D5" s="13"/>
      <c r="E5" s="14"/>
      <c r="F5" s="15"/>
      <c r="G5" s="2"/>
      <c r="H5" s="2"/>
      <c r="I5" s="16"/>
      <c r="J5" s="5"/>
      <c r="K5" s="17"/>
      <c r="L5" s="7"/>
      <c r="M5" s="8"/>
      <c r="N5" s="7"/>
      <c r="O5" s="8"/>
      <c r="P5" s="18"/>
      <c r="Q5" s="8"/>
    </row>
    <row r="6" spans="1:17" x14ac:dyDescent="0.25">
      <c r="A6" s="1"/>
      <c r="B6" s="2"/>
      <c r="C6" s="12"/>
      <c r="D6" s="13"/>
      <c r="E6" s="14"/>
      <c r="F6" s="15"/>
      <c r="G6" s="2"/>
      <c r="H6" s="2"/>
      <c r="I6" s="19"/>
      <c r="J6" s="5"/>
      <c r="K6" s="18"/>
      <c r="L6" s="7"/>
      <c r="M6" s="8"/>
      <c r="N6" s="7"/>
      <c r="O6" s="8"/>
      <c r="P6" s="18"/>
      <c r="Q6" s="8"/>
    </row>
    <row r="7" spans="1:17" x14ac:dyDescent="0.25">
      <c r="A7" s="1"/>
      <c r="B7" s="2"/>
      <c r="C7" s="12"/>
      <c r="D7" s="13"/>
      <c r="E7" s="14"/>
      <c r="F7" s="15"/>
      <c r="G7" s="2"/>
      <c r="H7" s="2"/>
      <c r="I7" s="16"/>
      <c r="J7" s="5"/>
      <c r="K7" s="18"/>
      <c r="L7" s="7"/>
      <c r="M7" s="8"/>
      <c r="N7" s="7"/>
      <c r="O7" s="8"/>
      <c r="P7" s="18"/>
      <c r="Q7" s="8"/>
    </row>
    <row r="8" spans="1:17" x14ac:dyDescent="0.25">
      <c r="A8" s="11"/>
      <c r="B8" s="2"/>
      <c r="C8" s="12"/>
      <c r="D8" s="13"/>
      <c r="E8" s="14"/>
      <c r="F8" s="20"/>
      <c r="G8" s="2"/>
      <c r="H8" s="2"/>
      <c r="I8" s="19"/>
      <c r="J8" s="5"/>
      <c r="K8" s="18"/>
      <c r="L8" s="7"/>
      <c r="M8" s="8"/>
      <c r="N8" s="18"/>
      <c r="O8" s="8"/>
      <c r="P8" s="18"/>
      <c r="Q8" s="8"/>
    </row>
    <row r="9" spans="1:17" x14ac:dyDescent="0.25">
      <c r="A9" s="8"/>
      <c r="B9" s="2"/>
      <c r="C9" s="12"/>
      <c r="D9" s="13"/>
      <c r="E9" s="14"/>
      <c r="F9" s="20"/>
      <c r="G9" s="2"/>
      <c r="H9" s="2"/>
      <c r="I9" s="19"/>
      <c r="J9" s="5"/>
      <c r="K9" s="18"/>
      <c r="L9" s="7"/>
      <c r="M9" s="8"/>
      <c r="N9" s="18"/>
      <c r="O9" s="8"/>
      <c r="P9" s="18"/>
      <c r="Q9" s="8"/>
    </row>
    <row r="10" spans="1:17" x14ac:dyDescent="0.25">
      <c r="A10" s="8"/>
      <c r="B10" s="2"/>
      <c r="C10" s="12"/>
      <c r="D10" s="13"/>
      <c r="E10" s="14"/>
      <c r="F10" s="5"/>
      <c r="G10" s="2"/>
      <c r="H10" s="2"/>
      <c r="I10" s="19"/>
      <c r="J10" s="5"/>
      <c r="K10" s="18"/>
      <c r="L10" s="7"/>
      <c r="M10" s="8"/>
      <c r="N10" s="9"/>
      <c r="O10" s="8"/>
      <c r="P10" s="18"/>
      <c r="Q10" s="8"/>
    </row>
    <row r="11" spans="1:17" x14ac:dyDescent="0.25">
      <c r="A11" s="1"/>
      <c r="B11" s="2"/>
      <c r="C11" s="3"/>
      <c r="D11" s="2"/>
      <c r="E11" s="4"/>
      <c r="F11" s="5"/>
      <c r="G11" s="21"/>
      <c r="H11" s="22"/>
      <c r="I11" s="19"/>
      <c r="J11" s="5"/>
      <c r="K11" s="18"/>
      <c r="L11" s="7"/>
      <c r="M11" s="8"/>
      <c r="N11" s="18"/>
      <c r="O11" s="8"/>
      <c r="P11" s="18"/>
      <c r="Q11" s="8"/>
    </row>
    <row r="12" spans="1:17" x14ac:dyDescent="0.25">
      <c r="A12" s="1"/>
      <c r="B12" s="2"/>
      <c r="C12" s="3"/>
      <c r="D12" s="2"/>
      <c r="E12" s="4"/>
      <c r="F12" s="5"/>
      <c r="G12" s="21"/>
      <c r="H12" s="22"/>
      <c r="I12" s="19"/>
      <c r="J12" s="5"/>
      <c r="K12" s="18"/>
      <c r="L12" s="7"/>
      <c r="M12" s="8"/>
      <c r="N12" s="18"/>
      <c r="O12" s="8"/>
      <c r="P12" s="18"/>
      <c r="Q12" s="8"/>
    </row>
  </sheetData>
  <mergeCells count="17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M1:M2"/>
    <mergeCell ref="N1:N2"/>
    <mergeCell ref="O1:O2"/>
    <mergeCell ref="P1:P2"/>
    <mergeCell ref="Q1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1FCB9-672E-495E-9A30-B6CE14C8E0EC}">
  <dimension ref="A1:Q12"/>
  <sheetViews>
    <sheetView topLeftCell="D1" workbookViewId="0">
      <selection activeCell="D1" sqref="A1:XFD1048576"/>
    </sheetView>
  </sheetViews>
  <sheetFormatPr defaultRowHeight="15" x14ac:dyDescent="0.25"/>
  <cols>
    <col min="1" max="1" width="9.28515625" bestFit="1" customWidth="1"/>
    <col min="2" max="2" width="11.85546875" customWidth="1"/>
    <col min="3" max="3" width="16.85546875" bestFit="1" customWidth="1"/>
    <col min="4" max="4" width="16.42578125" customWidth="1"/>
    <col min="5" max="5" width="17.7109375" customWidth="1"/>
    <col min="6" max="6" width="35.42578125" customWidth="1"/>
    <col min="7" max="7" width="19.42578125" customWidth="1"/>
    <col min="8" max="8" width="15.5703125" customWidth="1"/>
    <col min="9" max="9" width="17.7109375" customWidth="1"/>
    <col min="10" max="10" width="16.85546875" customWidth="1"/>
    <col min="11" max="11" width="12.140625" customWidth="1"/>
    <col min="12" max="12" width="20" customWidth="1"/>
    <col min="13" max="13" width="18" customWidth="1"/>
    <col min="14" max="14" width="18.85546875" customWidth="1"/>
    <col min="15" max="15" width="14.28515625" customWidth="1"/>
    <col min="16" max="16" width="13.28515625" customWidth="1"/>
    <col min="17" max="17" width="16.5703125" customWidth="1"/>
  </cols>
  <sheetData>
    <row r="1" spans="1:17" ht="21" customHeight="1" x14ac:dyDescent="0.25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59" t="s">
        <v>9</v>
      </c>
      <c r="K1" s="61" t="s">
        <v>10</v>
      </c>
      <c r="L1" s="59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</row>
    <row r="2" spans="1:17" ht="21.6" customHeight="1" x14ac:dyDescent="0.25">
      <c r="A2" s="62"/>
      <c r="B2" s="62"/>
      <c r="C2" s="62"/>
      <c r="D2" s="62"/>
      <c r="E2" s="62"/>
      <c r="F2" s="63"/>
      <c r="G2" s="62"/>
      <c r="H2" s="62"/>
      <c r="I2" s="62"/>
      <c r="J2" s="60"/>
      <c r="K2" s="62"/>
      <c r="L2" s="60"/>
      <c r="M2" s="63"/>
      <c r="N2" s="63"/>
      <c r="O2" s="63"/>
      <c r="P2" s="63"/>
      <c r="Q2" s="63"/>
    </row>
    <row r="3" spans="1:17" x14ac:dyDescent="0.25">
      <c r="A3" s="1">
        <v>1</v>
      </c>
      <c r="B3" s="2" t="s">
        <v>114</v>
      </c>
      <c r="C3" s="3">
        <v>508846100107</v>
      </c>
      <c r="D3" s="2" t="s">
        <v>115</v>
      </c>
      <c r="E3" s="4" t="s">
        <v>116</v>
      </c>
      <c r="F3" s="5" t="s">
        <v>117</v>
      </c>
      <c r="G3" s="2">
        <v>2</v>
      </c>
      <c r="H3" s="2">
        <v>1547</v>
      </c>
      <c r="I3" s="10">
        <v>1213.77</v>
      </c>
      <c r="J3" s="5">
        <f>G3*I3</f>
        <v>2427.54</v>
      </c>
      <c r="K3" s="34">
        <v>2864.19</v>
      </c>
      <c r="L3" s="7">
        <f>K3+J3</f>
        <v>5291.73</v>
      </c>
      <c r="M3" s="8" t="s">
        <v>106</v>
      </c>
      <c r="N3" s="7" t="s">
        <v>106</v>
      </c>
      <c r="O3" s="8" t="s">
        <v>23</v>
      </c>
      <c r="P3" s="8" t="s">
        <v>109</v>
      </c>
      <c r="Q3" s="8" t="s">
        <v>25</v>
      </c>
    </row>
    <row r="4" spans="1:17" ht="24.75" customHeight="1" x14ac:dyDescent="0.25">
      <c r="A4" s="11">
        <v>2</v>
      </c>
      <c r="B4" s="2" t="s">
        <v>114</v>
      </c>
      <c r="C4" s="3">
        <v>508846100102</v>
      </c>
      <c r="D4" s="2" t="s">
        <v>118</v>
      </c>
      <c r="E4" s="4" t="s">
        <v>119</v>
      </c>
      <c r="F4" s="5" t="s">
        <v>120</v>
      </c>
      <c r="G4" s="2">
        <v>1</v>
      </c>
      <c r="H4" s="2">
        <v>874</v>
      </c>
      <c r="I4" s="16">
        <v>1148.6099999999999</v>
      </c>
      <c r="J4" s="5">
        <f>G4*I4</f>
        <v>1148.6099999999999</v>
      </c>
      <c r="K4" s="17">
        <v>1358.31</v>
      </c>
      <c r="L4" s="7">
        <f t="shared" ref="L4:L5" si="0">K4+J4</f>
        <v>2506.92</v>
      </c>
      <c r="M4" s="8" t="s">
        <v>107</v>
      </c>
      <c r="N4" s="7" t="s">
        <v>22</v>
      </c>
      <c r="O4" s="8" t="s">
        <v>23</v>
      </c>
      <c r="P4" s="8" t="s">
        <v>108</v>
      </c>
      <c r="Q4" s="8" t="s">
        <v>25</v>
      </c>
    </row>
    <row r="5" spans="1:17" x14ac:dyDescent="0.25">
      <c r="A5" s="8">
        <v>3</v>
      </c>
      <c r="B5" s="2" t="s">
        <v>114</v>
      </c>
      <c r="C5" s="12">
        <v>280846100103</v>
      </c>
      <c r="D5" s="13" t="s">
        <v>118</v>
      </c>
      <c r="E5" s="4" t="s">
        <v>121</v>
      </c>
      <c r="F5" s="15" t="s">
        <v>122</v>
      </c>
      <c r="G5" s="2">
        <v>1</v>
      </c>
      <c r="H5" s="2">
        <v>32</v>
      </c>
      <c r="I5" s="16">
        <v>1235.3399999999999</v>
      </c>
      <c r="J5" s="5">
        <f>G5*I5</f>
        <v>1235.3399999999999</v>
      </c>
      <c r="K5" s="17">
        <v>1457.7</v>
      </c>
      <c r="L5" s="7">
        <f t="shared" si="0"/>
        <v>2693.04</v>
      </c>
      <c r="M5" s="8" t="s">
        <v>123</v>
      </c>
      <c r="N5" s="7" t="s">
        <v>124</v>
      </c>
      <c r="O5" s="8" t="s">
        <v>23</v>
      </c>
      <c r="P5" s="18"/>
      <c r="Q5" s="8" t="s">
        <v>25</v>
      </c>
    </row>
    <row r="6" spans="1:17" x14ac:dyDescent="0.25">
      <c r="A6" s="1"/>
      <c r="B6" s="2"/>
      <c r="C6" s="12"/>
      <c r="D6" s="13"/>
      <c r="E6" s="14"/>
      <c r="F6" s="15"/>
      <c r="G6" s="2"/>
      <c r="H6" s="2"/>
      <c r="I6" s="19"/>
      <c r="J6" s="5"/>
      <c r="K6" s="18"/>
      <c r="L6" s="7"/>
      <c r="M6" s="8"/>
      <c r="N6" s="7"/>
      <c r="O6" s="8"/>
      <c r="P6" s="18"/>
      <c r="Q6" s="8"/>
    </row>
    <row r="7" spans="1:17" x14ac:dyDescent="0.25">
      <c r="A7" s="1"/>
      <c r="B7" s="2"/>
      <c r="C7" s="12"/>
      <c r="D7" s="13"/>
      <c r="E7" s="14"/>
      <c r="F7" s="15"/>
      <c r="G7" s="2"/>
      <c r="H7" s="2"/>
      <c r="I7" s="16"/>
      <c r="J7" s="5"/>
      <c r="K7" s="18"/>
      <c r="L7" s="7"/>
      <c r="M7" s="8"/>
      <c r="N7" s="7"/>
      <c r="O7" s="8"/>
      <c r="P7" s="18"/>
      <c r="Q7" s="8"/>
    </row>
    <row r="8" spans="1:17" x14ac:dyDescent="0.25">
      <c r="A8" s="11"/>
      <c r="B8" s="2"/>
      <c r="C8" s="12"/>
      <c r="D8" s="13"/>
      <c r="E8" s="14"/>
      <c r="F8" s="20"/>
      <c r="G8" s="2"/>
      <c r="H8" s="2"/>
      <c r="I8" s="19"/>
      <c r="J8" s="5"/>
      <c r="K8" s="18"/>
      <c r="L8" s="7"/>
      <c r="M8" s="8"/>
      <c r="N8" s="18"/>
      <c r="O8" s="8"/>
      <c r="P8" s="18"/>
      <c r="Q8" s="8"/>
    </row>
    <row r="9" spans="1:17" x14ac:dyDescent="0.25">
      <c r="A9" s="8"/>
      <c r="B9" s="2"/>
      <c r="C9" s="12"/>
      <c r="D9" s="13"/>
      <c r="E9" s="14"/>
      <c r="F9" s="20"/>
      <c r="G9" s="2"/>
      <c r="H9" s="2"/>
      <c r="I9" s="19"/>
      <c r="J9" s="5"/>
      <c r="K9" s="18"/>
      <c r="L9" s="7"/>
      <c r="M9" s="8"/>
      <c r="N9" s="18"/>
      <c r="O9" s="8"/>
      <c r="P9" s="18"/>
      <c r="Q9" s="8"/>
    </row>
    <row r="10" spans="1:17" x14ac:dyDescent="0.25">
      <c r="A10" s="8"/>
      <c r="B10" s="2"/>
      <c r="C10" s="12"/>
      <c r="D10" s="13"/>
      <c r="E10" s="14"/>
      <c r="F10" s="5"/>
      <c r="G10" s="2"/>
      <c r="H10" s="2"/>
      <c r="I10" s="19"/>
      <c r="J10" s="5"/>
      <c r="K10" s="18"/>
      <c r="L10" s="7"/>
      <c r="M10" s="8"/>
      <c r="N10" s="9"/>
      <c r="O10" s="8"/>
      <c r="P10" s="18"/>
      <c r="Q10" s="8"/>
    </row>
    <row r="11" spans="1:17" x14ac:dyDescent="0.25">
      <c r="A11" s="1"/>
      <c r="B11" s="2"/>
      <c r="C11" s="3"/>
      <c r="D11" s="2"/>
      <c r="E11" s="4"/>
      <c r="F11" s="5"/>
      <c r="G11" s="21"/>
      <c r="H11" s="22"/>
      <c r="I11" s="19"/>
      <c r="J11" s="5"/>
      <c r="K11" s="18"/>
      <c r="L11" s="7"/>
      <c r="M11" s="8"/>
      <c r="N11" s="18"/>
      <c r="O11" s="8"/>
      <c r="P11" s="18"/>
      <c r="Q11" s="8"/>
    </row>
    <row r="12" spans="1:17" x14ac:dyDescent="0.25">
      <c r="A12" s="1"/>
      <c r="B12" s="2"/>
      <c r="C12" s="3"/>
      <c r="D12" s="2"/>
      <c r="E12" s="4"/>
      <c r="F12" s="5"/>
      <c r="G12" s="21"/>
      <c r="H12" s="22"/>
      <c r="I12" s="19"/>
      <c r="J12" s="5"/>
      <c r="K12" s="18"/>
      <c r="L12" s="7"/>
      <c r="M12" s="8"/>
      <c r="N12" s="18"/>
      <c r="O12" s="8"/>
      <c r="P12" s="18"/>
      <c r="Q12" s="8"/>
    </row>
  </sheetData>
  <mergeCells count="17">
    <mergeCell ref="M1:M2"/>
    <mergeCell ref="N1:N2"/>
    <mergeCell ref="O1:O2"/>
    <mergeCell ref="P1:P2"/>
    <mergeCell ref="Q1:Q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6B864-433B-49A1-AC52-E7454D5A7A86}">
  <dimension ref="A1:Q12"/>
  <sheetViews>
    <sheetView workbookViewId="0">
      <selection activeCell="C4" sqref="C4"/>
    </sheetView>
  </sheetViews>
  <sheetFormatPr defaultRowHeight="15" x14ac:dyDescent="0.25"/>
  <cols>
    <col min="1" max="1" width="9.28515625" bestFit="1" customWidth="1"/>
    <col min="2" max="2" width="11.85546875" customWidth="1"/>
    <col min="3" max="3" width="16.85546875" bestFit="1" customWidth="1"/>
    <col min="4" max="4" width="16.42578125" customWidth="1"/>
    <col min="5" max="5" width="17.7109375" customWidth="1"/>
    <col min="6" max="6" width="35.42578125" customWidth="1"/>
    <col min="7" max="7" width="19.42578125" customWidth="1"/>
    <col min="8" max="8" width="15.5703125" customWidth="1"/>
    <col min="9" max="9" width="17.7109375" customWidth="1"/>
    <col min="10" max="10" width="16.85546875" customWidth="1"/>
    <col min="11" max="11" width="12.140625" customWidth="1"/>
    <col min="12" max="12" width="20" customWidth="1"/>
    <col min="13" max="13" width="18" customWidth="1"/>
    <col min="14" max="14" width="18.85546875" customWidth="1"/>
    <col min="15" max="15" width="14.28515625" customWidth="1"/>
    <col min="16" max="16" width="13.28515625" customWidth="1"/>
    <col min="17" max="17" width="16.5703125" customWidth="1"/>
  </cols>
  <sheetData>
    <row r="1" spans="1:17" ht="21" customHeight="1" x14ac:dyDescent="0.25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59" t="s">
        <v>9</v>
      </c>
      <c r="K1" s="61" t="s">
        <v>10</v>
      </c>
      <c r="L1" s="59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</row>
    <row r="2" spans="1:17" ht="21.6" customHeight="1" x14ac:dyDescent="0.25">
      <c r="A2" s="62"/>
      <c r="B2" s="62"/>
      <c r="C2" s="62"/>
      <c r="D2" s="62"/>
      <c r="E2" s="62"/>
      <c r="F2" s="63"/>
      <c r="G2" s="62"/>
      <c r="H2" s="62"/>
      <c r="I2" s="62"/>
      <c r="J2" s="60"/>
      <c r="K2" s="62"/>
      <c r="L2" s="60"/>
      <c r="M2" s="63"/>
      <c r="N2" s="63"/>
      <c r="O2" s="63"/>
      <c r="P2" s="63"/>
      <c r="Q2" s="63"/>
    </row>
    <row r="3" spans="1:17" ht="22.5" x14ac:dyDescent="0.25">
      <c r="A3" s="1">
        <v>1</v>
      </c>
      <c r="B3" s="2" t="s">
        <v>125</v>
      </c>
      <c r="C3" s="3">
        <v>278650010126</v>
      </c>
      <c r="D3" s="2" t="s">
        <v>126</v>
      </c>
      <c r="E3" s="4" t="s">
        <v>128</v>
      </c>
      <c r="F3" s="5" t="s">
        <v>128</v>
      </c>
      <c r="G3" s="2">
        <v>25</v>
      </c>
      <c r="H3" s="2">
        <v>1547</v>
      </c>
      <c r="I3" s="10">
        <v>1213.77</v>
      </c>
      <c r="J3" s="5">
        <f>G3*I3</f>
        <v>30344.25</v>
      </c>
      <c r="K3" s="34">
        <v>2864.19</v>
      </c>
      <c r="L3" s="7">
        <f>K3+J3</f>
        <v>33208.44</v>
      </c>
      <c r="M3" s="8" t="s">
        <v>106</v>
      </c>
      <c r="N3" s="7" t="s">
        <v>106</v>
      </c>
      <c r="O3" s="8" t="s">
        <v>23</v>
      </c>
      <c r="P3" s="8" t="s">
        <v>109</v>
      </c>
      <c r="Q3" s="8" t="s">
        <v>25</v>
      </c>
    </row>
    <row r="4" spans="1:17" ht="36.75" customHeight="1" x14ac:dyDescent="0.25">
      <c r="A4" s="11">
        <v>2</v>
      </c>
      <c r="B4" s="2" t="s">
        <v>125</v>
      </c>
      <c r="C4" s="3">
        <v>278650010127</v>
      </c>
      <c r="D4" s="2" t="s">
        <v>127</v>
      </c>
      <c r="E4" s="35" t="s">
        <v>128</v>
      </c>
      <c r="F4" s="5" t="s">
        <v>128</v>
      </c>
      <c r="G4" s="2">
        <v>25</v>
      </c>
      <c r="H4" s="2">
        <v>874</v>
      </c>
      <c r="I4" s="16">
        <v>1148.6099999999999</v>
      </c>
      <c r="J4" s="5">
        <f>G4*I4</f>
        <v>28715.249999999996</v>
      </c>
      <c r="K4" s="17">
        <v>1358.31</v>
      </c>
      <c r="L4" s="7">
        <f t="shared" ref="L4:L5" si="0">K4+J4</f>
        <v>30073.559999999998</v>
      </c>
      <c r="M4" s="8" t="s">
        <v>107</v>
      </c>
      <c r="N4" s="7" t="s">
        <v>22</v>
      </c>
      <c r="O4" s="8" t="s">
        <v>23</v>
      </c>
      <c r="P4" s="8" t="s">
        <v>108</v>
      </c>
      <c r="Q4" s="8" t="s">
        <v>25</v>
      </c>
    </row>
    <row r="5" spans="1:17" ht="33" customHeight="1" x14ac:dyDescent="0.25">
      <c r="A5" s="8">
        <v>3</v>
      </c>
      <c r="B5" s="2" t="s">
        <v>125</v>
      </c>
      <c r="C5" s="12">
        <v>508846100107</v>
      </c>
      <c r="D5" s="13" t="s">
        <v>118</v>
      </c>
      <c r="E5" s="5" t="s">
        <v>129</v>
      </c>
      <c r="F5" s="4" t="s">
        <v>129</v>
      </c>
      <c r="G5" s="2">
        <v>3</v>
      </c>
      <c r="H5" s="2">
        <v>32</v>
      </c>
      <c r="I5" s="16">
        <v>1235.3399999999999</v>
      </c>
      <c r="J5" s="5">
        <f>G5*I5</f>
        <v>3706.0199999999995</v>
      </c>
      <c r="K5" s="17">
        <v>1457.7</v>
      </c>
      <c r="L5" s="7">
        <f t="shared" si="0"/>
        <v>5163.7199999999993</v>
      </c>
      <c r="M5" s="8" t="s">
        <v>123</v>
      </c>
      <c r="N5" s="7" t="s">
        <v>124</v>
      </c>
      <c r="O5" s="8" t="s">
        <v>23</v>
      </c>
      <c r="P5" s="8" t="s">
        <v>131</v>
      </c>
      <c r="Q5" s="8" t="s">
        <v>25</v>
      </c>
    </row>
    <row r="6" spans="1:17" ht="27.75" customHeight="1" x14ac:dyDescent="0.25">
      <c r="A6" s="1">
        <v>4</v>
      </c>
      <c r="B6" s="2" t="s">
        <v>125</v>
      </c>
      <c r="C6" s="12">
        <v>264146200102</v>
      </c>
      <c r="D6" s="13" t="s">
        <v>118</v>
      </c>
      <c r="E6" s="7" t="s">
        <v>130</v>
      </c>
      <c r="F6" s="14" t="s">
        <v>130</v>
      </c>
      <c r="G6" s="2">
        <v>19</v>
      </c>
      <c r="H6" s="2">
        <v>308</v>
      </c>
      <c r="I6" s="16">
        <v>392</v>
      </c>
      <c r="J6" s="5">
        <f>G6*I6</f>
        <v>7448</v>
      </c>
      <c r="K6" s="17">
        <v>8788.64</v>
      </c>
      <c r="L6" s="7">
        <f t="shared" ref="L6" si="1">K6+J6</f>
        <v>16236.64</v>
      </c>
      <c r="M6" s="8" t="s">
        <v>123</v>
      </c>
      <c r="N6" s="7" t="s">
        <v>124</v>
      </c>
      <c r="O6" s="8" t="s">
        <v>23</v>
      </c>
      <c r="P6" s="8" t="s">
        <v>132</v>
      </c>
      <c r="Q6" s="8" t="s">
        <v>25</v>
      </c>
    </row>
    <row r="7" spans="1:17" x14ac:dyDescent="0.25">
      <c r="A7" s="1"/>
      <c r="B7" s="2"/>
      <c r="C7" s="12"/>
      <c r="D7" s="13"/>
      <c r="E7" s="14"/>
      <c r="F7" s="15"/>
      <c r="G7" s="2"/>
      <c r="H7" s="2"/>
      <c r="I7" s="16"/>
      <c r="J7" s="5"/>
      <c r="K7" s="18"/>
      <c r="L7" s="7"/>
      <c r="M7" s="8"/>
      <c r="N7" s="7"/>
      <c r="O7" s="8"/>
      <c r="P7" s="18"/>
      <c r="Q7" s="8"/>
    </row>
    <row r="8" spans="1:17" x14ac:dyDescent="0.25">
      <c r="A8" s="11"/>
      <c r="B8" s="2"/>
      <c r="C8" s="12"/>
      <c r="D8" s="13"/>
      <c r="E8" s="14"/>
      <c r="F8" s="20"/>
      <c r="G8" s="2"/>
      <c r="H8" s="2"/>
      <c r="I8" s="19"/>
      <c r="J8" s="5"/>
      <c r="K8" s="18"/>
      <c r="L8" s="7"/>
      <c r="M8" s="8"/>
      <c r="N8" s="18"/>
      <c r="O8" s="8"/>
      <c r="P8" s="18"/>
      <c r="Q8" s="8"/>
    </row>
    <row r="9" spans="1:17" x14ac:dyDescent="0.25">
      <c r="A9" s="8"/>
      <c r="B9" s="2"/>
      <c r="C9" s="12"/>
      <c r="D9" s="13"/>
      <c r="E9" s="14"/>
      <c r="F9" s="20"/>
      <c r="G9" s="2"/>
      <c r="H9" s="2"/>
      <c r="I9" s="19"/>
      <c r="J9" s="5"/>
      <c r="K9" s="18"/>
      <c r="L9" s="7"/>
      <c r="M9" s="8"/>
      <c r="N9" s="18"/>
      <c r="O9" s="8"/>
      <c r="P9" s="18"/>
      <c r="Q9" s="8"/>
    </row>
    <row r="10" spans="1:17" x14ac:dyDescent="0.25">
      <c r="A10" s="8"/>
      <c r="B10" s="2"/>
      <c r="C10" s="12"/>
      <c r="D10" s="13"/>
      <c r="E10" s="14"/>
      <c r="F10" s="5"/>
      <c r="G10" s="2"/>
      <c r="H10" s="2"/>
      <c r="I10" s="19"/>
      <c r="J10" s="5"/>
      <c r="K10" s="18"/>
      <c r="L10" s="7"/>
      <c r="M10" s="8"/>
      <c r="N10" s="9"/>
      <c r="O10" s="8"/>
      <c r="P10" s="18"/>
      <c r="Q10" s="8"/>
    </row>
    <row r="11" spans="1:17" x14ac:dyDescent="0.25">
      <c r="A11" s="1"/>
      <c r="B11" s="2"/>
      <c r="C11" s="3"/>
      <c r="D11" s="2"/>
      <c r="E11" s="4"/>
      <c r="F11" s="5"/>
      <c r="G11" s="21"/>
      <c r="H11" s="22"/>
      <c r="I11" s="19"/>
      <c r="J11" s="5"/>
      <c r="K11" s="18"/>
      <c r="L11" s="7"/>
      <c r="M11" s="8"/>
      <c r="N11" s="18"/>
      <c r="O11" s="8"/>
      <c r="P11" s="18"/>
      <c r="Q11" s="8"/>
    </row>
    <row r="12" spans="1:17" x14ac:dyDescent="0.25">
      <c r="A12" s="1"/>
      <c r="B12" s="2"/>
      <c r="C12" s="3"/>
      <c r="D12" s="2"/>
      <c r="E12" s="4"/>
      <c r="F12" s="5"/>
      <c r="G12" s="21"/>
      <c r="H12" s="22"/>
      <c r="I12" s="19"/>
      <c r="J12" s="5"/>
      <c r="K12" s="18"/>
      <c r="L12" s="7"/>
      <c r="M12" s="8"/>
      <c r="N12" s="18"/>
      <c r="O12" s="8"/>
      <c r="P12" s="18"/>
      <c r="Q12" s="8"/>
    </row>
  </sheetData>
  <mergeCells count="17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M1:M2"/>
    <mergeCell ref="N1:N2"/>
    <mergeCell ref="O1:O2"/>
    <mergeCell ref="P1:P2"/>
    <mergeCell ref="Q1:Q2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7004-B9FC-49BE-A0AE-71248E723172}">
  <dimension ref="A1:Q12"/>
  <sheetViews>
    <sheetView workbookViewId="0">
      <selection activeCell="E4" sqref="E4"/>
    </sheetView>
  </sheetViews>
  <sheetFormatPr defaultRowHeight="15" x14ac:dyDescent="0.25"/>
  <cols>
    <col min="1" max="1" width="9.28515625" bestFit="1" customWidth="1"/>
    <col min="2" max="2" width="11.85546875" customWidth="1"/>
    <col min="3" max="3" width="16.85546875" bestFit="1" customWidth="1"/>
    <col min="4" max="4" width="16.42578125" customWidth="1"/>
    <col min="5" max="5" width="17.7109375" customWidth="1"/>
    <col min="6" max="6" width="35.42578125" customWidth="1"/>
    <col min="7" max="7" width="19.42578125" customWidth="1"/>
    <col min="8" max="8" width="15.5703125" customWidth="1"/>
    <col min="9" max="9" width="17.7109375" customWidth="1"/>
    <col min="10" max="10" width="16.85546875" customWidth="1"/>
    <col min="11" max="11" width="12.140625" customWidth="1"/>
    <col min="12" max="12" width="20" customWidth="1"/>
    <col min="13" max="13" width="18" customWidth="1"/>
    <col min="14" max="14" width="18.85546875" customWidth="1"/>
    <col min="15" max="15" width="14.28515625" customWidth="1"/>
    <col min="16" max="16" width="13.28515625" customWidth="1"/>
    <col min="17" max="17" width="16.5703125" customWidth="1"/>
  </cols>
  <sheetData>
    <row r="1" spans="1:17" ht="21" customHeight="1" x14ac:dyDescent="0.25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59" t="s">
        <v>9</v>
      </c>
      <c r="K1" s="61" t="s">
        <v>10</v>
      </c>
      <c r="L1" s="59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</row>
    <row r="2" spans="1:17" ht="21.6" customHeight="1" x14ac:dyDescent="0.25">
      <c r="A2" s="62"/>
      <c r="B2" s="62"/>
      <c r="C2" s="62"/>
      <c r="D2" s="62"/>
      <c r="E2" s="62"/>
      <c r="F2" s="63"/>
      <c r="G2" s="62"/>
      <c r="H2" s="62"/>
      <c r="I2" s="62"/>
      <c r="J2" s="60"/>
      <c r="K2" s="62"/>
      <c r="L2" s="60"/>
      <c r="M2" s="63"/>
      <c r="N2" s="63"/>
      <c r="O2" s="63"/>
      <c r="P2" s="63"/>
      <c r="Q2" s="63"/>
    </row>
    <row r="3" spans="1:17" x14ac:dyDescent="0.25">
      <c r="A3" s="1">
        <v>1</v>
      </c>
      <c r="B3" s="2" t="s">
        <v>133</v>
      </c>
      <c r="C3" s="12">
        <v>508846100107</v>
      </c>
      <c r="D3" s="13" t="s">
        <v>118</v>
      </c>
      <c r="E3" s="4" t="s">
        <v>128</v>
      </c>
      <c r="F3" s="5" t="s">
        <v>128</v>
      </c>
      <c r="G3" s="2">
        <v>7</v>
      </c>
      <c r="H3" s="2">
        <v>1623</v>
      </c>
      <c r="I3" s="10">
        <v>1213.77</v>
      </c>
      <c r="J3" s="5">
        <f>G3*I3</f>
        <v>8496.39</v>
      </c>
      <c r="K3" s="34">
        <v>2864.19</v>
      </c>
      <c r="L3" s="7">
        <f>K3+J3</f>
        <v>11360.58</v>
      </c>
      <c r="M3" s="8" t="s">
        <v>106</v>
      </c>
      <c r="N3" s="7" t="s">
        <v>106</v>
      </c>
      <c r="O3" s="8" t="s">
        <v>23</v>
      </c>
      <c r="P3" s="8" t="s">
        <v>109</v>
      </c>
      <c r="Q3" s="8" t="s">
        <v>25</v>
      </c>
    </row>
    <row r="4" spans="1:17" ht="36.75" customHeight="1" x14ac:dyDescent="0.25">
      <c r="A4" s="11">
        <v>2</v>
      </c>
      <c r="B4" s="2" t="s">
        <v>134</v>
      </c>
      <c r="C4" s="3" t="s">
        <v>58</v>
      </c>
      <c r="D4" s="2" t="s">
        <v>135</v>
      </c>
      <c r="E4" s="35" t="s">
        <v>136</v>
      </c>
      <c r="F4" s="5" t="s">
        <v>137</v>
      </c>
      <c r="G4" s="2">
        <v>35</v>
      </c>
      <c r="H4" s="2">
        <v>2584</v>
      </c>
      <c r="I4" s="16">
        <v>1657.48</v>
      </c>
      <c r="J4" s="5">
        <f t="shared" ref="J4:J5" si="0">G4*I4</f>
        <v>58011.8</v>
      </c>
      <c r="K4" s="17">
        <v>1358.31</v>
      </c>
      <c r="L4" s="7">
        <f t="shared" ref="L4:L5" si="1">K4+J4</f>
        <v>59370.11</v>
      </c>
      <c r="M4" s="8" t="s">
        <v>107</v>
      </c>
      <c r="N4" s="7" t="s">
        <v>22</v>
      </c>
      <c r="O4" s="8" t="s">
        <v>23</v>
      </c>
      <c r="P4" s="8" t="s">
        <v>108</v>
      </c>
      <c r="Q4" s="8" t="s">
        <v>25</v>
      </c>
    </row>
    <row r="5" spans="1:17" ht="33" customHeight="1" x14ac:dyDescent="0.25">
      <c r="A5" s="8">
        <v>3</v>
      </c>
      <c r="B5" s="2" t="s">
        <v>134</v>
      </c>
      <c r="C5" s="12">
        <v>268089100125</v>
      </c>
      <c r="D5" s="13" t="s">
        <v>138</v>
      </c>
      <c r="E5" s="5" t="s">
        <v>139</v>
      </c>
      <c r="F5" s="5" t="s">
        <v>139</v>
      </c>
      <c r="G5" s="2">
        <v>1</v>
      </c>
      <c r="H5" s="2">
        <v>2091</v>
      </c>
      <c r="I5" s="16">
        <v>477.12</v>
      </c>
      <c r="J5" s="5">
        <f t="shared" si="0"/>
        <v>477.12</v>
      </c>
      <c r="K5" s="17">
        <v>1457.7</v>
      </c>
      <c r="L5" s="7">
        <f t="shared" si="1"/>
        <v>1934.8200000000002</v>
      </c>
      <c r="M5" s="8" t="s">
        <v>123</v>
      </c>
      <c r="N5" s="7" t="s">
        <v>124</v>
      </c>
      <c r="O5" s="8" t="s">
        <v>23</v>
      </c>
      <c r="P5" s="8" t="s">
        <v>131</v>
      </c>
      <c r="Q5" s="8" t="s">
        <v>25</v>
      </c>
    </row>
    <row r="6" spans="1:17" ht="27.75" customHeight="1" x14ac:dyDescent="0.25">
      <c r="A6" s="1"/>
      <c r="B6" s="2"/>
      <c r="C6" s="12"/>
      <c r="D6" s="13"/>
      <c r="E6" s="7"/>
      <c r="F6" s="14"/>
      <c r="G6" s="2"/>
      <c r="H6" s="2"/>
      <c r="I6" s="16"/>
      <c r="J6" s="5"/>
      <c r="K6" s="17"/>
      <c r="L6" s="7"/>
      <c r="M6" s="8"/>
      <c r="N6" s="7"/>
      <c r="O6" s="8"/>
      <c r="P6" s="8"/>
      <c r="Q6" s="8"/>
    </row>
    <row r="7" spans="1:17" x14ac:dyDescent="0.25">
      <c r="A7" s="1"/>
      <c r="B7" s="2"/>
      <c r="C7" s="12"/>
      <c r="D7" s="13"/>
      <c r="E7" s="14"/>
      <c r="F7" s="15"/>
      <c r="G7" s="2"/>
      <c r="H7" s="2"/>
      <c r="I7" s="16"/>
      <c r="J7" s="5"/>
      <c r="K7" s="18"/>
      <c r="L7" s="7"/>
      <c r="M7" s="8"/>
      <c r="N7" s="7"/>
      <c r="O7" s="8"/>
      <c r="P7" s="18"/>
      <c r="Q7" s="8"/>
    </row>
    <row r="8" spans="1:17" x14ac:dyDescent="0.25">
      <c r="A8" s="11"/>
      <c r="B8" s="2"/>
      <c r="C8" s="12"/>
      <c r="D8" s="13"/>
      <c r="E8" s="14"/>
      <c r="F8" s="20"/>
      <c r="G8" s="2"/>
      <c r="H8" s="2"/>
      <c r="I8" s="19"/>
      <c r="J8" s="5"/>
      <c r="K8" s="18"/>
      <c r="L8" s="7"/>
      <c r="M8" s="8"/>
      <c r="N8" s="18"/>
      <c r="O8" s="8"/>
      <c r="P8" s="18"/>
      <c r="Q8" s="8"/>
    </row>
    <row r="9" spans="1:17" x14ac:dyDescent="0.25">
      <c r="A9" s="8"/>
      <c r="B9" s="2"/>
      <c r="C9" s="12"/>
      <c r="D9" s="13"/>
      <c r="E9" s="14"/>
      <c r="F9" s="20"/>
      <c r="G9" s="2"/>
      <c r="H9" s="2"/>
      <c r="I9" s="19"/>
      <c r="J9" s="5"/>
      <c r="K9" s="18"/>
      <c r="L9" s="7"/>
      <c r="M9" s="8"/>
      <c r="N9" s="18"/>
      <c r="O9" s="8"/>
      <c r="P9" s="18"/>
      <c r="Q9" s="8"/>
    </row>
    <row r="10" spans="1:17" x14ac:dyDescent="0.25">
      <c r="A10" s="8"/>
      <c r="B10" s="2"/>
      <c r="C10" s="12"/>
      <c r="D10" s="13"/>
      <c r="E10" s="14"/>
      <c r="F10" s="5"/>
      <c r="G10" s="2"/>
      <c r="H10" s="2"/>
      <c r="I10" s="19"/>
      <c r="J10" s="5"/>
      <c r="K10" s="18"/>
      <c r="L10" s="7"/>
      <c r="M10" s="8"/>
      <c r="N10" s="9"/>
      <c r="O10" s="8"/>
      <c r="P10" s="18"/>
      <c r="Q10" s="8"/>
    </row>
    <row r="11" spans="1:17" x14ac:dyDescent="0.25">
      <c r="A11" s="1"/>
      <c r="B11" s="2"/>
      <c r="C11" s="3"/>
      <c r="D11" s="2"/>
      <c r="E11" s="4"/>
      <c r="F11" s="5"/>
      <c r="G11" s="21"/>
      <c r="H11" s="22"/>
      <c r="I11" s="19"/>
      <c r="J11" s="5"/>
      <c r="K11" s="18"/>
      <c r="L11" s="7"/>
      <c r="M11" s="8"/>
      <c r="N11" s="18"/>
      <c r="O11" s="8"/>
      <c r="P11" s="18"/>
      <c r="Q11" s="8"/>
    </row>
    <row r="12" spans="1:17" x14ac:dyDescent="0.25">
      <c r="A12" s="1"/>
      <c r="B12" s="2"/>
      <c r="C12" s="3"/>
      <c r="D12" s="2"/>
      <c r="E12" s="4"/>
      <c r="F12" s="5"/>
      <c r="G12" s="21"/>
      <c r="H12" s="22"/>
      <c r="I12" s="19"/>
      <c r="J12" s="5"/>
      <c r="K12" s="18"/>
      <c r="L12" s="7"/>
      <c r="M12" s="8"/>
      <c r="N12" s="18"/>
      <c r="O12" s="8"/>
      <c r="P12" s="18"/>
      <c r="Q12" s="8"/>
    </row>
  </sheetData>
  <mergeCells count="17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M1:M2"/>
    <mergeCell ref="N1:N2"/>
    <mergeCell ref="O1:O2"/>
    <mergeCell ref="P1:P2"/>
    <mergeCell ref="Q1:Q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B0E75-6927-4F31-8A94-A8B63B8A7B65}">
  <dimension ref="A1:Q9"/>
  <sheetViews>
    <sheetView topLeftCell="C1" workbookViewId="0">
      <selection activeCell="F7" sqref="F7"/>
    </sheetView>
  </sheetViews>
  <sheetFormatPr defaultRowHeight="15" x14ac:dyDescent="0.25"/>
  <cols>
    <col min="1" max="1" width="9.28515625" bestFit="1" customWidth="1"/>
    <col min="2" max="2" width="11.85546875" customWidth="1"/>
    <col min="3" max="3" width="16.85546875" bestFit="1" customWidth="1"/>
    <col min="4" max="4" width="23.28515625" customWidth="1"/>
    <col min="5" max="5" width="17.7109375" customWidth="1"/>
    <col min="6" max="6" width="35.42578125" customWidth="1"/>
    <col min="7" max="7" width="19.42578125" customWidth="1"/>
    <col min="8" max="8" width="15.5703125" customWidth="1"/>
    <col min="9" max="9" width="17.7109375" customWidth="1"/>
    <col min="10" max="10" width="16.85546875" customWidth="1"/>
    <col min="11" max="11" width="12.140625" customWidth="1"/>
    <col min="12" max="12" width="20" customWidth="1"/>
    <col min="13" max="13" width="18" customWidth="1"/>
    <col min="14" max="14" width="18.85546875" customWidth="1"/>
    <col min="15" max="15" width="14.28515625" customWidth="1"/>
    <col min="16" max="16" width="13.28515625" customWidth="1"/>
    <col min="17" max="17" width="16.5703125" customWidth="1"/>
  </cols>
  <sheetData>
    <row r="1" spans="1:17" ht="21" customHeight="1" x14ac:dyDescent="0.25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59" t="s">
        <v>9</v>
      </c>
      <c r="K1" s="61" t="s">
        <v>10</v>
      </c>
      <c r="L1" s="59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</row>
    <row r="2" spans="1:17" ht="21.6" customHeight="1" x14ac:dyDescent="0.25">
      <c r="A2" s="62"/>
      <c r="B2" s="62"/>
      <c r="C2" s="62"/>
      <c r="D2" s="62"/>
      <c r="E2" s="62"/>
      <c r="F2" s="63"/>
      <c r="G2" s="62"/>
      <c r="H2" s="62"/>
      <c r="I2" s="62"/>
      <c r="J2" s="60"/>
      <c r="K2" s="62"/>
      <c r="L2" s="60"/>
      <c r="M2" s="63"/>
      <c r="N2" s="63"/>
      <c r="O2" s="63"/>
      <c r="P2" s="63"/>
      <c r="Q2" s="63"/>
    </row>
    <row r="3" spans="1:17" ht="27.75" customHeight="1" x14ac:dyDescent="0.25">
      <c r="A3" s="1">
        <v>1</v>
      </c>
      <c r="B3" s="2" t="s">
        <v>140</v>
      </c>
      <c r="C3" s="12">
        <v>570922128203</v>
      </c>
      <c r="D3" s="13" t="s">
        <v>143</v>
      </c>
      <c r="E3" s="4" t="s">
        <v>144</v>
      </c>
      <c r="F3" s="5" t="s">
        <v>141</v>
      </c>
      <c r="G3" s="2">
        <v>73</v>
      </c>
      <c r="H3" s="2">
        <v>924</v>
      </c>
      <c r="I3" s="10">
        <v>149.49</v>
      </c>
      <c r="J3" s="5">
        <f>G3*I3</f>
        <v>10912.77</v>
      </c>
      <c r="K3" s="34">
        <v>2864.19</v>
      </c>
      <c r="L3" s="7">
        <f>K3+J3</f>
        <v>13776.960000000001</v>
      </c>
      <c r="M3" s="8" t="s">
        <v>106</v>
      </c>
      <c r="N3" s="7" t="s">
        <v>106</v>
      </c>
      <c r="O3" s="8" t="s">
        <v>23</v>
      </c>
      <c r="P3" s="8" t="s">
        <v>109</v>
      </c>
      <c r="Q3" s="8" t="s">
        <v>25</v>
      </c>
    </row>
    <row r="4" spans="1:17" ht="36.75" customHeight="1" x14ac:dyDescent="0.25">
      <c r="A4" s="11">
        <v>2</v>
      </c>
      <c r="B4" s="2" t="s">
        <v>142</v>
      </c>
      <c r="C4" s="3">
        <v>508846100102</v>
      </c>
      <c r="D4" s="2" t="s">
        <v>145</v>
      </c>
      <c r="E4" s="35" t="s">
        <v>146</v>
      </c>
      <c r="F4" s="5" t="s">
        <v>147</v>
      </c>
      <c r="G4" s="2">
        <v>1</v>
      </c>
      <c r="H4" s="2">
        <v>1691</v>
      </c>
      <c r="I4" s="16">
        <v>1148.6099999999999</v>
      </c>
      <c r="J4" s="5">
        <f t="shared" ref="J4:J5" si="0">G4*I4</f>
        <v>1148.6099999999999</v>
      </c>
      <c r="K4" s="17">
        <v>1358.31</v>
      </c>
      <c r="L4" s="7">
        <f t="shared" ref="L4:L5" si="1">K4+J4</f>
        <v>2506.92</v>
      </c>
      <c r="M4" s="8" t="s">
        <v>107</v>
      </c>
      <c r="N4" s="7" t="s">
        <v>22</v>
      </c>
      <c r="O4" s="8" t="s">
        <v>23</v>
      </c>
      <c r="P4" s="8" t="s">
        <v>108</v>
      </c>
      <c r="Q4" s="8" t="s">
        <v>25</v>
      </c>
    </row>
    <row r="5" spans="1:17" ht="33" customHeight="1" x14ac:dyDescent="0.25">
      <c r="A5" s="8">
        <v>3</v>
      </c>
      <c r="B5" s="2" t="s">
        <v>151</v>
      </c>
      <c r="C5" s="12">
        <v>583026820101</v>
      </c>
      <c r="D5" s="13" t="s">
        <v>148</v>
      </c>
      <c r="E5" s="5" t="s">
        <v>149</v>
      </c>
      <c r="F5" s="5" t="s">
        <v>150</v>
      </c>
      <c r="G5" s="2">
        <v>3</v>
      </c>
      <c r="H5" s="2">
        <v>300</v>
      </c>
      <c r="I5" s="16">
        <v>84.84</v>
      </c>
      <c r="J5" s="5">
        <f t="shared" si="0"/>
        <v>254.52</v>
      </c>
      <c r="K5" s="17">
        <v>1457.7</v>
      </c>
      <c r="L5" s="7">
        <f t="shared" si="1"/>
        <v>1712.22</v>
      </c>
      <c r="M5" s="8" t="s">
        <v>123</v>
      </c>
      <c r="N5" s="7" t="s">
        <v>124</v>
      </c>
      <c r="O5" s="8" t="s">
        <v>23</v>
      </c>
      <c r="P5" s="8" t="s">
        <v>108</v>
      </c>
      <c r="Q5" s="8" t="s">
        <v>25</v>
      </c>
    </row>
    <row r="6" spans="1:17" ht="27.75" customHeight="1" x14ac:dyDescent="0.25">
      <c r="A6" s="1">
        <v>4</v>
      </c>
      <c r="B6" s="2" t="s">
        <v>152</v>
      </c>
      <c r="C6" s="12" t="s">
        <v>58</v>
      </c>
      <c r="D6" s="13" t="s">
        <v>135</v>
      </c>
      <c r="E6" s="7" t="s">
        <v>153</v>
      </c>
      <c r="F6" s="14" t="s">
        <v>153</v>
      </c>
      <c r="G6" s="2">
        <v>5</v>
      </c>
      <c r="H6" s="2">
        <v>2794</v>
      </c>
      <c r="I6" s="2">
        <v>1657.48</v>
      </c>
      <c r="J6" s="5">
        <f t="shared" ref="J6:J9" si="2">G6*I6</f>
        <v>8287.4</v>
      </c>
      <c r="K6" s="17">
        <v>1458.7</v>
      </c>
      <c r="L6" s="7">
        <f t="shared" ref="L6:L9" si="3">K6+J6</f>
        <v>9746.1</v>
      </c>
      <c r="M6" s="8" t="s">
        <v>123</v>
      </c>
      <c r="N6" s="7" t="s">
        <v>22</v>
      </c>
      <c r="O6" s="8" t="s">
        <v>23</v>
      </c>
      <c r="P6" s="8" t="s">
        <v>108</v>
      </c>
      <c r="Q6" s="8" t="s">
        <v>25</v>
      </c>
    </row>
    <row r="7" spans="1:17" ht="30.75" customHeight="1" x14ac:dyDescent="0.25">
      <c r="A7" s="1">
        <v>5</v>
      </c>
      <c r="B7" s="2" t="s">
        <v>152</v>
      </c>
      <c r="C7" s="12">
        <v>278650010127</v>
      </c>
      <c r="D7" s="13" t="s">
        <v>154</v>
      </c>
      <c r="E7" s="14" t="s">
        <v>155</v>
      </c>
      <c r="F7" s="15" t="s">
        <v>156</v>
      </c>
      <c r="G7" s="2">
        <v>27</v>
      </c>
      <c r="H7" s="2">
        <v>10098</v>
      </c>
      <c r="I7" s="16">
        <v>38.65</v>
      </c>
      <c r="J7" s="5">
        <f t="shared" si="2"/>
        <v>1043.55</v>
      </c>
      <c r="K7" s="17">
        <v>1459.7</v>
      </c>
      <c r="L7" s="7">
        <f t="shared" si="3"/>
        <v>2503.25</v>
      </c>
      <c r="M7" s="8" t="s">
        <v>158</v>
      </c>
      <c r="N7" s="7" t="s">
        <v>28</v>
      </c>
      <c r="O7" s="8" t="s">
        <v>23</v>
      </c>
      <c r="P7" s="8" t="s">
        <v>108</v>
      </c>
      <c r="Q7" s="8" t="s">
        <v>25</v>
      </c>
    </row>
    <row r="8" spans="1:17" ht="20.25" customHeight="1" x14ac:dyDescent="0.25">
      <c r="A8" s="11">
        <v>6</v>
      </c>
      <c r="B8" s="2" t="s">
        <v>152</v>
      </c>
      <c r="C8" s="12">
        <v>278650010126</v>
      </c>
      <c r="D8" s="13" t="s">
        <v>154</v>
      </c>
      <c r="E8" s="14" t="s">
        <v>155</v>
      </c>
      <c r="F8" s="15" t="s">
        <v>156</v>
      </c>
      <c r="G8" s="2">
        <v>34</v>
      </c>
      <c r="H8" s="2">
        <v>10116</v>
      </c>
      <c r="I8" s="19">
        <v>38.65</v>
      </c>
      <c r="J8" s="5">
        <f t="shared" si="2"/>
        <v>1314.1</v>
      </c>
      <c r="K8" s="17">
        <v>1460.7</v>
      </c>
      <c r="L8" s="7">
        <f t="shared" si="3"/>
        <v>2774.8</v>
      </c>
      <c r="M8" s="8" t="s">
        <v>158</v>
      </c>
      <c r="N8" s="7" t="s">
        <v>28</v>
      </c>
      <c r="O8" s="8" t="s">
        <v>23</v>
      </c>
      <c r="P8" s="8" t="s">
        <v>108</v>
      </c>
      <c r="Q8" s="8" t="s">
        <v>25</v>
      </c>
    </row>
    <row r="9" spans="1:17" ht="26.25" customHeight="1" x14ac:dyDescent="0.25">
      <c r="A9" s="8">
        <v>7</v>
      </c>
      <c r="B9" s="2" t="s">
        <v>152</v>
      </c>
      <c r="C9" s="3">
        <v>508846100107</v>
      </c>
      <c r="D9" s="2" t="s">
        <v>145</v>
      </c>
      <c r="E9" s="14" t="s">
        <v>65</v>
      </c>
      <c r="F9" s="20" t="s">
        <v>157</v>
      </c>
      <c r="G9" s="2">
        <v>2</v>
      </c>
      <c r="H9" s="2">
        <v>1695</v>
      </c>
      <c r="I9" s="19">
        <v>1213.77</v>
      </c>
      <c r="J9" s="5">
        <f t="shared" si="2"/>
        <v>2427.54</v>
      </c>
      <c r="K9" s="17">
        <v>1460.7</v>
      </c>
      <c r="L9" s="7">
        <f t="shared" si="3"/>
        <v>3888.24</v>
      </c>
      <c r="M9" s="8" t="s">
        <v>123</v>
      </c>
      <c r="N9" s="7" t="s">
        <v>124</v>
      </c>
      <c r="O9" s="8" t="s">
        <v>23</v>
      </c>
      <c r="P9" s="8" t="s">
        <v>108</v>
      </c>
      <c r="Q9" s="8" t="s">
        <v>25</v>
      </c>
    </row>
  </sheetData>
  <mergeCells count="17">
    <mergeCell ref="M1:M2"/>
    <mergeCell ref="N1:N2"/>
    <mergeCell ref="O1:O2"/>
    <mergeCell ref="P1:P2"/>
    <mergeCell ref="Q1:Q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142E-B00E-412E-A500-29F3A4C372C3}">
  <dimension ref="A1:Q7"/>
  <sheetViews>
    <sheetView workbookViewId="0">
      <selection activeCell="C3" sqref="C3"/>
    </sheetView>
  </sheetViews>
  <sheetFormatPr defaultRowHeight="15" x14ac:dyDescent="0.25"/>
  <cols>
    <col min="1" max="1" width="9.28515625" bestFit="1" customWidth="1"/>
    <col min="2" max="2" width="11.85546875" customWidth="1"/>
    <col min="3" max="3" width="16.85546875" bestFit="1" customWidth="1"/>
    <col min="4" max="4" width="23.28515625" customWidth="1"/>
    <col min="5" max="5" width="17.7109375" customWidth="1"/>
    <col min="6" max="6" width="35.42578125" customWidth="1"/>
    <col min="7" max="7" width="19.42578125" customWidth="1"/>
    <col min="8" max="8" width="15.5703125" customWidth="1"/>
    <col min="9" max="9" width="17.7109375" customWidth="1"/>
    <col min="10" max="10" width="16.85546875" customWidth="1"/>
    <col min="11" max="11" width="12.140625" customWidth="1"/>
    <col min="12" max="12" width="20" customWidth="1"/>
    <col min="13" max="13" width="18" customWidth="1"/>
    <col min="14" max="14" width="18.85546875" customWidth="1"/>
    <col min="15" max="15" width="14.28515625" customWidth="1"/>
    <col min="16" max="16" width="13.28515625" customWidth="1"/>
    <col min="17" max="17" width="16.5703125" customWidth="1"/>
  </cols>
  <sheetData>
    <row r="1" spans="1:17" ht="21" customHeight="1" x14ac:dyDescent="0.25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59" t="s">
        <v>9</v>
      </c>
      <c r="K1" s="61" t="s">
        <v>10</v>
      </c>
      <c r="L1" s="59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</row>
    <row r="2" spans="1:17" ht="21.6" customHeight="1" x14ac:dyDescent="0.25">
      <c r="A2" s="62"/>
      <c r="B2" s="62"/>
      <c r="C2" s="62"/>
      <c r="D2" s="62"/>
      <c r="E2" s="62"/>
      <c r="F2" s="63"/>
      <c r="G2" s="62"/>
      <c r="H2" s="62"/>
      <c r="I2" s="62"/>
      <c r="J2" s="60"/>
      <c r="K2" s="62"/>
      <c r="L2" s="60"/>
      <c r="M2" s="63"/>
      <c r="N2" s="63"/>
      <c r="O2" s="63"/>
      <c r="P2" s="63"/>
      <c r="Q2" s="63"/>
    </row>
    <row r="3" spans="1:17" ht="27.75" customHeight="1" x14ac:dyDescent="0.25">
      <c r="A3" s="1">
        <v>1</v>
      </c>
      <c r="B3" s="2" t="s">
        <v>159</v>
      </c>
      <c r="C3" s="12">
        <v>570913130126</v>
      </c>
      <c r="D3" s="13" t="s">
        <v>160</v>
      </c>
      <c r="E3" s="4" t="s">
        <v>155</v>
      </c>
      <c r="F3" s="5" t="s">
        <v>161</v>
      </c>
      <c r="G3" s="2">
        <v>55</v>
      </c>
      <c r="H3" s="2">
        <v>219</v>
      </c>
      <c r="I3" s="10">
        <v>72.41</v>
      </c>
      <c r="J3" s="5">
        <f>G3*I3</f>
        <v>3982.5499999999997</v>
      </c>
      <c r="K3" s="34">
        <v>3686</v>
      </c>
      <c r="L3" s="7">
        <f>K3+J3</f>
        <v>7668.5499999999993</v>
      </c>
      <c r="M3" s="8" t="s">
        <v>158</v>
      </c>
      <c r="N3" s="7" t="s">
        <v>168</v>
      </c>
      <c r="O3" s="8" t="s">
        <v>23</v>
      </c>
      <c r="P3" s="8" t="s">
        <v>109</v>
      </c>
      <c r="Q3" s="8" t="s">
        <v>25</v>
      </c>
    </row>
    <row r="4" spans="1:17" ht="36.75" customHeight="1" x14ac:dyDescent="0.25">
      <c r="A4" s="11">
        <v>2</v>
      </c>
      <c r="B4" s="2" t="s">
        <v>159</v>
      </c>
      <c r="C4" s="3">
        <v>508846100102</v>
      </c>
      <c r="D4" s="2" t="s">
        <v>145</v>
      </c>
      <c r="E4" s="35" t="s">
        <v>162</v>
      </c>
      <c r="F4" s="5" t="s">
        <v>162</v>
      </c>
      <c r="G4" s="2">
        <v>3</v>
      </c>
      <c r="H4" s="2">
        <v>1584</v>
      </c>
      <c r="I4" s="16">
        <v>1141.46</v>
      </c>
      <c r="J4" s="5">
        <f t="shared" ref="J4:J6" si="0">G4*I4</f>
        <v>3424.38</v>
      </c>
      <c r="K4" s="17">
        <v>3445.83</v>
      </c>
      <c r="L4" s="7">
        <f t="shared" ref="L4:L6" si="1">K4+J4</f>
        <v>6870.21</v>
      </c>
      <c r="M4" s="8" t="s">
        <v>107</v>
      </c>
      <c r="N4" s="7" t="s">
        <v>22</v>
      </c>
      <c r="O4" s="8" t="s">
        <v>23</v>
      </c>
      <c r="P4" s="8" t="s">
        <v>108</v>
      </c>
      <c r="Q4" s="8" t="s">
        <v>25</v>
      </c>
    </row>
    <row r="5" spans="1:17" ht="45" customHeight="1" x14ac:dyDescent="0.25">
      <c r="A5" s="8">
        <v>3</v>
      </c>
      <c r="B5" s="2" t="s">
        <v>159</v>
      </c>
      <c r="C5" s="12">
        <v>500754303301</v>
      </c>
      <c r="D5" s="13" t="s">
        <v>163</v>
      </c>
      <c r="E5" s="5" t="s">
        <v>149</v>
      </c>
      <c r="F5" s="5" t="s">
        <v>164</v>
      </c>
      <c r="G5" s="2">
        <v>1</v>
      </c>
      <c r="H5" s="2">
        <v>8500</v>
      </c>
      <c r="I5" s="38">
        <v>21.8</v>
      </c>
      <c r="J5" s="5">
        <f t="shared" si="0"/>
        <v>21.8</v>
      </c>
      <c r="K5" s="17">
        <v>21.8</v>
      </c>
      <c r="L5" s="7">
        <f t="shared" si="1"/>
        <v>43.6</v>
      </c>
      <c r="M5" s="8" t="s">
        <v>123</v>
      </c>
      <c r="N5" s="7" t="s">
        <v>124</v>
      </c>
      <c r="O5" s="8" t="s">
        <v>23</v>
      </c>
      <c r="P5" s="8" t="s">
        <v>108</v>
      </c>
      <c r="Q5" s="8" t="s">
        <v>25</v>
      </c>
    </row>
    <row r="6" spans="1:17" ht="45" customHeight="1" x14ac:dyDescent="0.25">
      <c r="A6" s="1">
        <v>4</v>
      </c>
      <c r="B6" s="2" t="s">
        <v>159</v>
      </c>
      <c r="C6" s="12" t="s">
        <v>58</v>
      </c>
      <c r="D6" s="13" t="s">
        <v>135</v>
      </c>
      <c r="E6" s="36" t="s">
        <v>153</v>
      </c>
      <c r="F6" s="9" t="s">
        <v>165</v>
      </c>
      <c r="G6" s="2">
        <v>21</v>
      </c>
      <c r="H6" s="2">
        <v>3074</v>
      </c>
      <c r="I6" s="37">
        <v>1631.05</v>
      </c>
      <c r="J6" s="5">
        <f t="shared" si="0"/>
        <v>34252.049999999996</v>
      </c>
      <c r="K6" s="17">
        <v>34807.08</v>
      </c>
      <c r="L6" s="7">
        <f t="shared" si="1"/>
        <v>69059.13</v>
      </c>
      <c r="M6" s="8" t="s">
        <v>123</v>
      </c>
      <c r="N6" s="7" t="s">
        <v>22</v>
      </c>
      <c r="O6" s="8" t="s">
        <v>23</v>
      </c>
      <c r="P6" s="8" t="s">
        <v>108</v>
      </c>
      <c r="Q6" s="8" t="s">
        <v>25</v>
      </c>
    </row>
    <row r="7" spans="1:17" ht="45" customHeight="1" x14ac:dyDescent="0.25">
      <c r="A7" s="1">
        <v>5</v>
      </c>
      <c r="B7" s="2" t="s">
        <v>166</v>
      </c>
      <c r="C7" s="3">
        <v>508846100102</v>
      </c>
      <c r="D7" s="2" t="s">
        <v>145</v>
      </c>
      <c r="E7" s="7" t="s">
        <v>167</v>
      </c>
      <c r="F7" s="7" t="s">
        <v>167</v>
      </c>
      <c r="G7" s="2">
        <v>10</v>
      </c>
      <c r="H7" s="2">
        <v>1584</v>
      </c>
      <c r="I7" s="16">
        <v>1141.46</v>
      </c>
      <c r="J7" s="5">
        <f>G7*I7</f>
        <v>11414.6</v>
      </c>
      <c r="K7" s="17">
        <v>11486.1</v>
      </c>
      <c r="L7" s="7">
        <f>K7+J7</f>
        <v>22900.7</v>
      </c>
      <c r="M7" s="8" t="s">
        <v>158</v>
      </c>
      <c r="N7" s="7" t="s">
        <v>28</v>
      </c>
      <c r="O7" s="8" t="s">
        <v>23</v>
      </c>
      <c r="P7" s="8" t="s">
        <v>108</v>
      </c>
      <c r="Q7" s="8" t="s">
        <v>25</v>
      </c>
    </row>
  </sheetData>
  <mergeCells count="17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M1:M2"/>
    <mergeCell ref="N1:N2"/>
    <mergeCell ref="O1:O2"/>
    <mergeCell ref="P1:P2"/>
    <mergeCell ref="Q1:Q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A287-632C-4A22-9102-C7AE355ECAAD}">
  <dimension ref="A1:Q8"/>
  <sheetViews>
    <sheetView topLeftCell="D1" workbookViewId="0">
      <selection activeCell="K3" sqref="K3:K8"/>
    </sheetView>
  </sheetViews>
  <sheetFormatPr defaultRowHeight="15" x14ac:dyDescent="0.25"/>
  <cols>
    <col min="1" max="1" width="9.28515625" bestFit="1" customWidth="1"/>
    <col min="2" max="2" width="11.85546875" customWidth="1"/>
    <col min="3" max="3" width="16.85546875" bestFit="1" customWidth="1"/>
    <col min="4" max="4" width="23.28515625" customWidth="1"/>
    <col min="5" max="5" width="21.5703125" customWidth="1"/>
    <col min="6" max="6" width="35.42578125" customWidth="1"/>
    <col min="7" max="7" width="19.42578125" customWidth="1"/>
    <col min="8" max="8" width="15.5703125" customWidth="1"/>
    <col min="9" max="9" width="17.7109375" customWidth="1"/>
    <col min="10" max="10" width="16.85546875" customWidth="1"/>
    <col min="11" max="11" width="12.140625" customWidth="1"/>
    <col min="12" max="12" width="20" customWidth="1"/>
    <col min="13" max="13" width="18" customWidth="1"/>
    <col min="14" max="14" width="18.85546875" customWidth="1"/>
    <col min="15" max="15" width="14.28515625" customWidth="1"/>
    <col min="16" max="16" width="13.28515625" customWidth="1"/>
    <col min="17" max="17" width="16.5703125" customWidth="1"/>
  </cols>
  <sheetData>
    <row r="1" spans="1:17" ht="21" customHeight="1" x14ac:dyDescent="0.25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59" t="s">
        <v>9</v>
      </c>
      <c r="K1" s="61" t="s">
        <v>10</v>
      </c>
      <c r="L1" s="59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</row>
    <row r="2" spans="1:17" ht="21.6" customHeight="1" x14ac:dyDescent="0.25">
      <c r="A2" s="62"/>
      <c r="B2" s="62"/>
      <c r="C2" s="62"/>
      <c r="D2" s="62"/>
      <c r="E2" s="63"/>
      <c r="F2" s="63"/>
      <c r="G2" s="62"/>
      <c r="H2" s="62"/>
      <c r="I2" s="62"/>
      <c r="J2" s="60"/>
      <c r="K2" s="62"/>
      <c r="L2" s="60"/>
      <c r="M2" s="63"/>
      <c r="N2" s="63"/>
      <c r="O2" s="63"/>
      <c r="P2" s="63"/>
      <c r="Q2" s="63"/>
    </row>
    <row r="3" spans="1:17" ht="27.75" customHeight="1" x14ac:dyDescent="0.25">
      <c r="A3" s="1">
        <v>1</v>
      </c>
      <c r="B3" s="2" t="s">
        <v>170</v>
      </c>
      <c r="C3" s="12">
        <v>508554710101</v>
      </c>
      <c r="D3" s="13" t="s">
        <v>169</v>
      </c>
      <c r="E3" s="5" t="s">
        <v>185</v>
      </c>
      <c r="F3" s="5" t="s">
        <v>184</v>
      </c>
      <c r="G3" s="2">
        <v>106</v>
      </c>
      <c r="H3" s="2">
        <v>7840</v>
      </c>
      <c r="I3" s="16">
        <v>19.71</v>
      </c>
      <c r="J3" s="5">
        <f t="shared" ref="J3:J6" si="0">G3*I3</f>
        <v>2089.2600000000002</v>
      </c>
      <c r="K3" s="34">
        <v>2055.34</v>
      </c>
      <c r="L3" s="7">
        <f>K3+J3</f>
        <v>4144.6000000000004</v>
      </c>
      <c r="M3" s="8" t="s">
        <v>158</v>
      </c>
      <c r="N3" s="7" t="s">
        <v>168</v>
      </c>
      <c r="O3" s="8" t="s">
        <v>23</v>
      </c>
      <c r="P3" s="18" t="s">
        <v>178</v>
      </c>
      <c r="Q3" s="8" t="s">
        <v>25</v>
      </c>
    </row>
    <row r="4" spans="1:17" ht="30" customHeight="1" x14ac:dyDescent="0.25">
      <c r="A4" s="11">
        <v>2</v>
      </c>
      <c r="B4" s="2" t="s">
        <v>170</v>
      </c>
      <c r="C4" s="3">
        <v>281688530123</v>
      </c>
      <c r="D4" s="2" t="s">
        <v>171</v>
      </c>
      <c r="E4" s="5" t="s">
        <v>172</v>
      </c>
      <c r="F4" s="5" t="s">
        <v>172</v>
      </c>
      <c r="G4" s="2">
        <v>30</v>
      </c>
      <c r="H4" s="2">
        <v>350</v>
      </c>
      <c r="I4" s="16">
        <v>332.02</v>
      </c>
      <c r="J4" s="5">
        <f t="shared" si="0"/>
        <v>9960.5999999999985</v>
      </c>
      <c r="K4" s="48">
        <v>11611.9</v>
      </c>
      <c r="L4" s="7">
        <f t="shared" ref="L4:L6" si="1">K4+J4</f>
        <v>21572.5</v>
      </c>
      <c r="M4" s="8" t="s">
        <v>107</v>
      </c>
      <c r="N4" s="7" t="s">
        <v>22</v>
      </c>
      <c r="O4" s="8" t="s">
        <v>23</v>
      </c>
      <c r="P4" s="18" t="s">
        <v>179</v>
      </c>
      <c r="Q4" s="8" t="s">
        <v>25</v>
      </c>
    </row>
    <row r="5" spans="1:17" ht="28.5" customHeight="1" x14ac:dyDescent="0.25">
      <c r="A5" s="8">
        <v>3</v>
      </c>
      <c r="B5" s="2" t="s">
        <v>170</v>
      </c>
      <c r="C5" s="3">
        <v>281688530124</v>
      </c>
      <c r="D5" s="2" t="s">
        <v>173</v>
      </c>
      <c r="E5" s="5" t="s">
        <v>172</v>
      </c>
      <c r="F5" s="5" t="s">
        <v>172</v>
      </c>
      <c r="G5" s="2">
        <v>30</v>
      </c>
      <c r="H5" s="2">
        <v>350</v>
      </c>
      <c r="I5" s="16">
        <v>332.02</v>
      </c>
      <c r="J5" s="5">
        <f t="shared" si="0"/>
        <v>9960.5999999999985</v>
      </c>
      <c r="K5" s="48">
        <v>11611.9</v>
      </c>
      <c r="L5" s="7">
        <f t="shared" si="1"/>
        <v>21572.5</v>
      </c>
      <c r="M5" s="8" t="s">
        <v>123</v>
      </c>
      <c r="N5" s="7" t="s">
        <v>124</v>
      </c>
      <c r="O5" s="8" t="s">
        <v>23</v>
      </c>
      <c r="P5" s="18" t="s">
        <v>180</v>
      </c>
      <c r="Q5" s="8" t="s">
        <v>25</v>
      </c>
    </row>
    <row r="6" spans="1:17" ht="33" customHeight="1" x14ac:dyDescent="0.25">
      <c r="A6" s="11">
        <v>4</v>
      </c>
      <c r="B6" s="39" t="s">
        <v>174</v>
      </c>
      <c r="C6" s="40" t="s">
        <v>58</v>
      </c>
      <c r="D6" s="41" t="s">
        <v>135</v>
      </c>
      <c r="E6" s="36" t="s">
        <v>103</v>
      </c>
      <c r="F6" s="7" t="s">
        <v>103</v>
      </c>
      <c r="G6" s="39">
        <v>6</v>
      </c>
      <c r="H6" s="39">
        <v>2838</v>
      </c>
      <c r="I6" s="42">
        <v>1631.05</v>
      </c>
      <c r="J6" s="43">
        <f t="shared" si="0"/>
        <v>9786.2999999999993</v>
      </c>
      <c r="K6" s="44">
        <v>9786.2999999999993</v>
      </c>
      <c r="L6" s="36">
        <f t="shared" si="1"/>
        <v>19572.599999999999</v>
      </c>
      <c r="M6" s="45" t="s">
        <v>123</v>
      </c>
      <c r="N6" s="36" t="s">
        <v>22</v>
      </c>
      <c r="O6" s="45" t="s">
        <v>23</v>
      </c>
      <c r="P6" s="18" t="s">
        <v>181</v>
      </c>
      <c r="Q6" s="45" t="s">
        <v>25</v>
      </c>
    </row>
    <row r="7" spans="1:17" ht="30.75" customHeight="1" x14ac:dyDescent="0.25">
      <c r="A7" s="8">
        <v>5</v>
      </c>
      <c r="B7" s="2" t="s">
        <v>174</v>
      </c>
      <c r="C7" s="3">
        <v>275146100104</v>
      </c>
      <c r="D7" s="2" t="s">
        <v>145</v>
      </c>
      <c r="E7" s="5" t="s">
        <v>175</v>
      </c>
      <c r="F7" s="7" t="s">
        <v>175</v>
      </c>
      <c r="G7" s="2">
        <v>10</v>
      </c>
      <c r="H7" s="2">
        <v>20</v>
      </c>
      <c r="I7" s="22">
        <v>418.3</v>
      </c>
      <c r="J7" s="5">
        <f>G7*I7</f>
        <v>4183</v>
      </c>
      <c r="K7" s="22">
        <v>4.1829999999999998</v>
      </c>
      <c r="L7" s="7">
        <f>K7+J7</f>
        <v>4187.183</v>
      </c>
      <c r="M7" s="8" t="s">
        <v>158</v>
      </c>
      <c r="N7" s="7" t="s">
        <v>28</v>
      </c>
      <c r="O7" s="8" t="s">
        <v>23</v>
      </c>
      <c r="P7" s="18" t="s">
        <v>182</v>
      </c>
      <c r="Q7" s="8" t="s">
        <v>25</v>
      </c>
    </row>
    <row r="8" spans="1:17" ht="27" customHeight="1" x14ac:dyDescent="0.25">
      <c r="A8" s="21">
        <v>6</v>
      </c>
      <c r="B8" s="49" t="s">
        <v>174</v>
      </c>
      <c r="C8" s="46">
        <v>508846100107</v>
      </c>
      <c r="D8" s="2" t="s">
        <v>145</v>
      </c>
      <c r="E8" s="47" t="s">
        <v>176</v>
      </c>
      <c r="F8" s="21" t="s">
        <v>176</v>
      </c>
      <c r="G8" s="21">
        <v>2</v>
      </c>
      <c r="H8" s="21">
        <v>1444</v>
      </c>
      <c r="I8" s="21">
        <v>1206.3900000000001</v>
      </c>
      <c r="J8" s="5">
        <f>G8*I8</f>
        <v>2412.7800000000002</v>
      </c>
      <c r="K8" s="22">
        <v>2412.7800000000002</v>
      </c>
      <c r="L8" s="7">
        <f>K8+J8</f>
        <v>4825.5600000000004</v>
      </c>
      <c r="M8" s="8" t="s">
        <v>158</v>
      </c>
      <c r="N8" s="7" t="s">
        <v>28</v>
      </c>
      <c r="O8" s="8" t="s">
        <v>177</v>
      </c>
      <c r="P8" s="18" t="s">
        <v>183</v>
      </c>
      <c r="Q8" s="8" t="s">
        <v>25</v>
      </c>
    </row>
  </sheetData>
  <mergeCells count="17">
    <mergeCell ref="M1:M2"/>
    <mergeCell ref="N1:N2"/>
    <mergeCell ref="O1:O2"/>
    <mergeCell ref="P1:P2"/>
    <mergeCell ref="Q1:Q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honeticPr fontId="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35F1E-2321-4A17-9113-7CB1937765C1}">
  <dimension ref="A1:Q9"/>
  <sheetViews>
    <sheetView workbookViewId="0">
      <selection activeCell="E8" sqref="E8"/>
    </sheetView>
  </sheetViews>
  <sheetFormatPr defaultRowHeight="15" x14ac:dyDescent="0.25"/>
  <cols>
    <col min="1" max="1" width="9.28515625" bestFit="1" customWidth="1"/>
    <col min="2" max="2" width="11.85546875" customWidth="1"/>
    <col min="3" max="3" width="16.85546875" bestFit="1" customWidth="1"/>
    <col min="4" max="4" width="23.28515625" customWidth="1"/>
    <col min="5" max="5" width="21.5703125" customWidth="1"/>
    <col min="6" max="6" width="35.42578125" customWidth="1"/>
    <col min="7" max="7" width="19.42578125" customWidth="1"/>
    <col min="8" max="8" width="15.5703125" customWidth="1"/>
    <col min="9" max="9" width="17.7109375" customWidth="1"/>
    <col min="10" max="10" width="16.85546875" customWidth="1"/>
    <col min="11" max="11" width="12.140625" customWidth="1"/>
    <col min="12" max="12" width="20" customWidth="1"/>
    <col min="13" max="13" width="18" customWidth="1"/>
    <col min="14" max="14" width="18.85546875" customWidth="1"/>
    <col min="15" max="15" width="14.28515625" customWidth="1"/>
    <col min="16" max="16" width="13.28515625" customWidth="1"/>
    <col min="17" max="17" width="16.5703125" customWidth="1"/>
  </cols>
  <sheetData>
    <row r="1" spans="1:17" ht="21" customHeight="1" x14ac:dyDescent="0.25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59" t="s">
        <v>9</v>
      </c>
      <c r="K1" s="61" t="s">
        <v>10</v>
      </c>
      <c r="L1" s="59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</row>
    <row r="2" spans="1:17" ht="21.6" customHeight="1" x14ac:dyDescent="0.25">
      <c r="A2" s="62"/>
      <c r="B2" s="62"/>
      <c r="C2" s="62"/>
      <c r="D2" s="62"/>
      <c r="E2" s="63"/>
      <c r="F2" s="63"/>
      <c r="G2" s="62"/>
      <c r="H2" s="62"/>
      <c r="I2" s="62"/>
      <c r="J2" s="60"/>
      <c r="K2" s="62"/>
      <c r="L2" s="60"/>
      <c r="M2" s="63"/>
      <c r="N2" s="63"/>
      <c r="O2" s="63"/>
      <c r="P2" s="63"/>
      <c r="Q2" s="63"/>
    </row>
    <row r="3" spans="1:17" ht="27.75" customHeight="1" x14ac:dyDescent="0.25">
      <c r="A3" s="1">
        <v>1</v>
      </c>
      <c r="B3" s="2" t="s">
        <v>186</v>
      </c>
      <c r="C3" s="12">
        <v>275146100104</v>
      </c>
      <c r="D3" s="13" t="s">
        <v>18</v>
      </c>
      <c r="E3" s="5" t="s">
        <v>187</v>
      </c>
      <c r="F3" s="5" t="s">
        <v>188</v>
      </c>
      <c r="G3" s="2">
        <v>33</v>
      </c>
      <c r="H3" s="2">
        <v>78</v>
      </c>
      <c r="I3" s="16">
        <v>418.3</v>
      </c>
      <c r="J3" s="5">
        <f t="shared" ref="J3:J6" si="0">G3*I3</f>
        <v>13803.9</v>
      </c>
      <c r="K3" s="34">
        <v>14063.61</v>
      </c>
      <c r="L3" s="7">
        <f>K3+J3</f>
        <v>27867.510000000002</v>
      </c>
      <c r="M3" s="8" t="s">
        <v>158</v>
      </c>
      <c r="N3" s="7" t="s">
        <v>168</v>
      </c>
      <c r="O3" s="8" t="s">
        <v>23</v>
      </c>
      <c r="P3" s="18" t="s">
        <v>178</v>
      </c>
      <c r="Q3" s="8" t="s">
        <v>25</v>
      </c>
    </row>
    <row r="4" spans="1:17" ht="30" customHeight="1" x14ac:dyDescent="0.25">
      <c r="A4" s="11">
        <v>2</v>
      </c>
      <c r="B4" s="2" t="s">
        <v>186</v>
      </c>
      <c r="C4" s="3">
        <v>281688530123</v>
      </c>
      <c r="D4" s="2" t="s">
        <v>171</v>
      </c>
      <c r="E4" s="5" t="s">
        <v>189</v>
      </c>
      <c r="F4" s="5" t="s">
        <v>190</v>
      </c>
      <c r="G4" s="2">
        <v>40</v>
      </c>
      <c r="H4" s="2">
        <v>583</v>
      </c>
      <c r="I4" s="16">
        <v>332.02</v>
      </c>
      <c r="J4" s="5">
        <f t="shared" si="0"/>
        <v>13280.8</v>
      </c>
      <c r="K4" s="48">
        <v>15482.54</v>
      </c>
      <c r="L4" s="7">
        <f t="shared" ref="L4:L6" si="1">K4+J4</f>
        <v>28763.34</v>
      </c>
      <c r="M4" s="8" t="s">
        <v>107</v>
      </c>
      <c r="N4" s="7" t="s">
        <v>22</v>
      </c>
      <c r="O4" s="8" t="s">
        <v>23</v>
      </c>
      <c r="P4" s="18" t="s">
        <v>179</v>
      </c>
      <c r="Q4" s="8" t="s">
        <v>25</v>
      </c>
    </row>
    <row r="5" spans="1:17" ht="28.5" customHeight="1" x14ac:dyDescent="0.25">
      <c r="A5" s="8">
        <v>3</v>
      </c>
      <c r="B5" s="2" t="s">
        <v>186</v>
      </c>
      <c r="C5" s="3">
        <v>281688530124</v>
      </c>
      <c r="D5" s="2" t="s">
        <v>173</v>
      </c>
      <c r="E5" s="5" t="s">
        <v>189</v>
      </c>
      <c r="F5" s="5" t="s">
        <v>190</v>
      </c>
      <c r="G5" s="2">
        <v>40</v>
      </c>
      <c r="H5" s="2">
        <v>583</v>
      </c>
      <c r="I5" s="16">
        <v>332.02</v>
      </c>
      <c r="J5" s="5">
        <f t="shared" si="0"/>
        <v>13280.8</v>
      </c>
      <c r="K5" s="48">
        <v>15482.54</v>
      </c>
      <c r="L5" s="7">
        <f t="shared" si="1"/>
        <v>28763.34</v>
      </c>
      <c r="M5" s="8" t="s">
        <v>123</v>
      </c>
      <c r="N5" s="7" t="s">
        <v>124</v>
      </c>
      <c r="O5" s="8" t="s">
        <v>23</v>
      </c>
      <c r="P5" s="18" t="s">
        <v>180</v>
      </c>
      <c r="Q5" s="8" t="s">
        <v>25</v>
      </c>
    </row>
    <row r="6" spans="1:17" ht="33" customHeight="1" x14ac:dyDescent="0.25">
      <c r="A6" s="11">
        <v>4</v>
      </c>
      <c r="B6" s="39" t="s">
        <v>186</v>
      </c>
      <c r="C6" s="40">
        <v>274789100105</v>
      </c>
      <c r="D6" s="41" t="s">
        <v>191</v>
      </c>
      <c r="E6" s="43" t="s">
        <v>192</v>
      </c>
      <c r="F6" s="50" t="s">
        <v>193</v>
      </c>
      <c r="G6" s="39">
        <v>5</v>
      </c>
      <c r="H6" s="39">
        <v>166</v>
      </c>
      <c r="I6" s="42">
        <v>2667.91</v>
      </c>
      <c r="J6" s="43">
        <f t="shared" si="0"/>
        <v>13339.55</v>
      </c>
      <c r="K6" s="44">
        <v>13339.55</v>
      </c>
      <c r="L6" s="36">
        <f t="shared" si="1"/>
        <v>26679.1</v>
      </c>
      <c r="M6" s="45" t="s">
        <v>123</v>
      </c>
      <c r="N6" s="36" t="s">
        <v>22</v>
      </c>
      <c r="O6" s="45" t="s">
        <v>23</v>
      </c>
      <c r="P6" s="18" t="s">
        <v>181</v>
      </c>
      <c r="Q6" s="45" t="s">
        <v>25</v>
      </c>
    </row>
    <row r="7" spans="1:17" ht="30.75" customHeight="1" x14ac:dyDescent="0.25">
      <c r="A7" s="8">
        <v>5</v>
      </c>
      <c r="B7" s="2" t="s">
        <v>196</v>
      </c>
      <c r="C7" s="40">
        <v>274789100105</v>
      </c>
      <c r="D7" s="41" t="s">
        <v>191</v>
      </c>
      <c r="E7" s="5" t="s">
        <v>194</v>
      </c>
      <c r="F7" s="5" t="s">
        <v>194</v>
      </c>
      <c r="G7" s="2">
        <v>1</v>
      </c>
      <c r="H7" s="2">
        <v>166</v>
      </c>
      <c r="I7" s="42">
        <v>2667.91</v>
      </c>
      <c r="J7" s="5">
        <f>G7*I7</f>
        <v>2667.91</v>
      </c>
      <c r="K7" s="22">
        <v>2667.91</v>
      </c>
      <c r="L7" s="7">
        <f>K7+J7</f>
        <v>5335.82</v>
      </c>
      <c r="M7" s="8" t="s">
        <v>158</v>
      </c>
      <c r="N7" s="7" t="s">
        <v>28</v>
      </c>
      <c r="O7" s="8" t="s">
        <v>23</v>
      </c>
      <c r="P7" s="18" t="s">
        <v>182</v>
      </c>
      <c r="Q7" s="8" t="s">
        <v>25</v>
      </c>
    </row>
    <row r="8" spans="1:17" ht="27" customHeight="1" x14ac:dyDescent="0.25">
      <c r="A8" s="22">
        <v>6</v>
      </c>
      <c r="B8" s="49" t="s">
        <v>195</v>
      </c>
      <c r="C8" s="51">
        <v>505383800101</v>
      </c>
      <c r="D8" s="2" t="s">
        <v>197</v>
      </c>
      <c r="E8" s="49" t="s">
        <v>198</v>
      </c>
      <c r="F8" s="49" t="s">
        <v>198</v>
      </c>
      <c r="G8" s="15">
        <v>12</v>
      </c>
      <c r="H8" s="52">
        <v>500</v>
      </c>
      <c r="I8" s="21">
        <v>70.989999999999995</v>
      </c>
      <c r="J8" s="5">
        <f>G8*I8</f>
        <v>851.87999999999988</v>
      </c>
      <c r="K8" s="22">
        <v>851.88</v>
      </c>
      <c r="L8" s="7">
        <f>K8+J8</f>
        <v>1703.7599999999998</v>
      </c>
      <c r="M8" s="8" t="s">
        <v>158</v>
      </c>
      <c r="N8" s="7" t="s">
        <v>28</v>
      </c>
      <c r="O8" s="8" t="s">
        <v>177</v>
      </c>
      <c r="P8" s="18" t="s">
        <v>183</v>
      </c>
      <c r="Q8" s="8" t="s">
        <v>25</v>
      </c>
    </row>
    <row r="9" spans="1:17" ht="27" customHeight="1" x14ac:dyDescent="0.25">
      <c r="A9" s="22">
        <v>7</v>
      </c>
      <c r="B9" s="49" t="s">
        <v>195</v>
      </c>
      <c r="C9" s="51">
        <v>508846100107</v>
      </c>
      <c r="D9" s="2" t="s">
        <v>18</v>
      </c>
      <c r="E9" s="49" t="s">
        <v>199</v>
      </c>
      <c r="F9" s="49" t="s">
        <v>199</v>
      </c>
      <c r="G9" s="15">
        <v>1</v>
      </c>
      <c r="H9" s="52">
        <v>1063</v>
      </c>
      <c r="I9" s="21">
        <v>1206.3900000000001</v>
      </c>
      <c r="J9" s="5">
        <f>G9*I9</f>
        <v>1206.3900000000001</v>
      </c>
      <c r="K9" s="22">
        <v>1206.3900000000001</v>
      </c>
      <c r="L9" s="7">
        <f>K9+J9</f>
        <v>2412.7800000000002</v>
      </c>
      <c r="M9" s="8" t="s">
        <v>158</v>
      </c>
      <c r="N9" s="7" t="s">
        <v>28</v>
      </c>
      <c r="O9" s="8" t="s">
        <v>177</v>
      </c>
      <c r="P9" s="18" t="s">
        <v>183</v>
      </c>
      <c r="Q9" s="8" t="s">
        <v>25</v>
      </c>
    </row>
  </sheetData>
  <mergeCells count="17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M1:M2"/>
    <mergeCell ref="N1:N2"/>
    <mergeCell ref="O1:O2"/>
    <mergeCell ref="P1:P2"/>
    <mergeCell ref="Q1:Q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AD487-7698-474B-BA38-6179D7DDB728}">
  <dimension ref="A1:Q6"/>
  <sheetViews>
    <sheetView zoomScaleNormal="100" workbookViewId="0">
      <selection sqref="A1:XFD1048576"/>
    </sheetView>
  </sheetViews>
  <sheetFormatPr defaultRowHeight="15" x14ac:dyDescent="0.25"/>
  <cols>
    <col min="1" max="1" width="9.28515625" bestFit="1" customWidth="1"/>
    <col min="2" max="2" width="11.85546875" customWidth="1"/>
    <col min="3" max="3" width="16.85546875" bestFit="1" customWidth="1"/>
    <col min="4" max="4" width="19.28515625" customWidth="1"/>
    <col min="5" max="5" width="14.7109375" customWidth="1"/>
    <col min="6" max="6" width="19" customWidth="1"/>
    <col min="7" max="7" width="14.5703125" customWidth="1"/>
    <col min="8" max="8" width="15.5703125" customWidth="1"/>
    <col min="9" max="9" width="17.7109375" customWidth="1"/>
    <col min="10" max="10" width="16.85546875" customWidth="1"/>
    <col min="11" max="11" width="18.42578125" customWidth="1"/>
    <col min="12" max="12" width="14.85546875" customWidth="1"/>
    <col min="13" max="13" width="13.7109375" customWidth="1"/>
    <col min="14" max="14" width="18.85546875" customWidth="1"/>
    <col min="15" max="15" width="14.28515625" customWidth="1"/>
    <col min="16" max="16" width="13.28515625" customWidth="1"/>
    <col min="17" max="17" width="16.5703125" customWidth="1"/>
  </cols>
  <sheetData>
    <row r="1" spans="1:17" ht="21" customHeight="1" x14ac:dyDescent="0.25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59" t="s">
        <v>9</v>
      </c>
      <c r="K1" s="61" t="s">
        <v>10</v>
      </c>
      <c r="L1" s="59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</row>
    <row r="2" spans="1:17" ht="38.25" customHeight="1" x14ac:dyDescent="0.25">
      <c r="A2" s="62"/>
      <c r="B2" s="62"/>
      <c r="C2" s="62"/>
      <c r="D2" s="62"/>
      <c r="E2" s="63"/>
      <c r="F2" s="63"/>
      <c r="G2" s="62"/>
      <c r="H2" s="62"/>
      <c r="I2" s="62"/>
      <c r="J2" s="60"/>
      <c r="K2" s="62"/>
      <c r="L2" s="60"/>
      <c r="M2" s="63"/>
      <c r="N2" s="63"/>
      <c r="O2" s="63"/>
      <c r="P2" s="63"/>
      <c r="Q2" s="63"/>
    </row>
    <row r="3" spans="1:17" ht="27.75" customHeight="1" x14ac:dyDescent="0.25">
      <c r="A3" s="1">
        <v>1</v>
      </c>
      <c r="B3" s="2" t="s">
        <v>200</v>
      </c>
      <c r="C3" s="12">
        <v>275146100104</v>
      </c>
      <c r="D3" s="13" t="s">
        <v>18</v>
      </c>
      <c r="E3" s="5" t="s">
        <v>187</v>
      </c>
      <c r="F3" s="5" t="s">
        <v>188</v>
      </c>
      <c r="G3" s="2">
        <v>12</v>
      </c>
      <c r="H3" s="2">
        <v>85</v>
      </c>
      <c r="I3" s="16">
        <v>418.3</v>
      </c>
      <c r="J3" s="5">
        <f t="shared" ref="J3:J6" si="0">G3*I3</f>
        <v>5019.6000000000004</v>
      </c>
      <c r="K3" s="54">
        <v>5114.04</v>
      </c>
      <c r="L3" s="7">
        <f>K3+J3</f>
        <v>10133.64</v>
      </c>
      <c r="M3" s="8" t="s">
        <v>158</v>
      </c>
      <c r="N3" s="7" t="s">
        <v>168</v>
      </c>
      <c r="O3" s="8" t="s">
        <v>23</v>
      </c>
      <c r="P3" s="18" t="s">
        <v>178</v>
      </c>
      <c r="Q3" s="8" t="s">
        <v>25</v>
      </c>
    </row>
    <row r="4" spans="1:17" ht="30" customHeight="1" x14ac:dyDescent="0.25">
      <c r="A4" s="11">
        <v>2</v>
      </c>
      <c r="B4" s="2" t="s">
        <v>201</v>
      </c>
      <c r="C4" s="53" t="s">
        <v>202</v>
      </c>
      <c r="D4" s="55" t="s">
        <v>203</v>
      </c>
      <c r="E4" s="5" t="s">
        <v>204</v>
      </c>
      <c r="F4" s="5" t="s">
        <v>205</v>
      </c>
      <c r="G4" s="2">
        <v>5</v>
      </c>
      <c r="H4" s="2">
        <v>8450</v>
      </c>
      <c r="I4" s="16">
        <v>11.02</v>
      </c>
      <c r="J4" s="5">
        <f t="shared" si="0"/>
        <v>55.099999999999994</v>
      </c>
      <c r="K4" s="48">
        <v>65.02</v>
      </c>
      <c r="L4" s="7">
        <f t="shared" ref="L4:L6" si="1">K4+J4</f>
        <v>120.11999999999999</v>
      </c>
      <c r="M4" s="8" t="s">
        <v>107</v>
      </c>
      <c r="N4" s="7" t="s">
        <v>22</v>
      </c>
      <c r="O4" s="8" t="s">
        <v>23</v>
      </c>
      <c r="P4" s="18" t="s">
        <v>179</v>
      </c>
      <c r="Q4" s="8" t="s">
        <v>25</v>
      </c>
    </row>
    <row r="5" spans="1:17" ht="28.5" customHeight="1" x14ac:dyDescent="0.25">
      <c r="A5" s="8">
        <v>3</v>
      </c>
      <c r="B5" s="2" t="s">
        <v>206</v>
      </c>
      <c r="C5" s="3">
        <v>276831600111</v>
      </c>
      <c r="D5" s="2" t="s">
        <v>207</v>
      </c>
      <c r="E5" s="5" t="s">
        <v>209</v>
      </c>
      <c r="F5" s="5" t="s">
        <v>210</v>
      </c>
      <c r="G5" s="2">
        <v>20</v>
      </c>
      <c r="H5" s="2">
        <v>40</v>
      </c>
      <c r="I5" s="42">
        <v>1423.64</v>
      </c>
      <c r="J5" s="5">
        <f t="shared" si="0"/>
        <v>28472.800000000003</v>
      </c>
      <c r="K5" s="48">
        <v>29222.6</v>
      </c>
      <c r="L5" s="7">
        <f t="shared" si="1"/>
        <v>57695.4</v>
      </c>
      <c r="M5" s="8" t="s">
        <v>123</v>
      </c>
      <c r="N5" s="7" t="s">
        <v>124</v>
      </c>
      <c r="O5" s="8" t="s">
        <v>23</v>
      </c>
      <c r="P5" s="18" t="s">
        <v>180</v>
      </c>
      <c r="Q5" s="8" t="s">
        <v>25</v>
      </c>
    </row>
    <row r="6" spans="1:17" ht="33" customHeight="1" x14ac:dyDescent="0.25">
      <c r="A6" s="8">
        <v>4</v>
      </c>
      <c r="B6" s="2" t="s">
        <v>206</v>
      </c>
      <c r="C6" s="3">
        <v>276831600112</v>
      </c>
      <c r="D6" s="2" t="s">
        <v>208</v>
      </c>
      <c r="E6" s="5" t="s">
        <v>209</v>
      </c>
      <c r="F6" s="5" t="s">
        <v>210</v>
      </c>
      <c r="G6" s="2">
        <v>20</v>
      </c>
      <c r="H6" s="2">
        <v>40</v>
      </c>
      <c r="I6" s="22">
        <v>1423.64</v>
      </c>
      <c r="J6" s="5">
        <f t="shared" si="0"/>
        <v>28472.800000000003</v>
      </c>
      <c r="K6" s="48">
        <v>29222.6</v>
      </c>
      <c r="L6" s="7">
        <f t="shared" si="1"/>
        <v>57695.4</v>
      </c>
      <c r="M6" s="8" t="s">
        <v>123</v>
      </c>
      <c r="N6" s="7" t="s">
        <v>22</v>
      </c>
      <c r="O6" s="8" t="s">
        <v>23</v>
      </c>
      <c r="P6" s="21" t="s">
        <v>181</v>
      </c>
      <c r="Q6" s="8" t="s">
        <v>25</v>
      </c>
    </row>
  </sheetData>
  <mergeCells count="17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M1:M2"/>
    <mergeCell ref="N1:N2"/>
    <mergeCell ref="O1:O2"/>
    <mergeCell ref="P1:P2"/>
    <mergeCell ref="Q1:Q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59B5-B6F4-4A00-8BEC-C51AEDBE563D}">
  <dimension ref="A1:Q8"/>
  <sheetViews>
    <sheetView workbookViewId="0">
      <selection sqref="A1:XFD1048576"/>
    </sheetView>
  </sheetViews>
  <sheetFormatPr defaultRowHeight="15" x14ac:dyDescent="0.25"/>
  <cols>
    <col min="1" max="1" width="9.28515625" bestFit="1" customWidth="1"/>
    <col min="2" max="2" width="11.85546875" customWidth="1"/>
    <col min="3" max="3" width="16.85546875" bestFit="1" customWidth="1"/>
    <col min="4" max="4" width="19.28515625" customWidth="1"/>
    <col min="5" max="5" width="14.7109375" customWidth="1"/>
    <col min="6" max="6" width="19" customWidth="1"/>
    <col min="7" max="7" width="14.5703125" customWidth="1"/>
    <col min="8" max="8" width="15.5703125" customWidth="1"/>
    <col min="9" max="9" width="17.7109375" customWidth="1"/>
    <col min="10" max="10" width="16.85546875" customWidth="1"/>
    <col min="11" max="11" width="18.42578125" customWidth="1"/>
    <col min="12" max="12" width="14.85546875" customWidth="1"/>
    <col min="13" max="13" width="13.7109375" customWidth="1"/>
    <col min="14" max="14" width="18.85546875" customWidth="1"/>
    <col min="15" max="15" width="14.28515625" customWidth="1"/>
    <col min="16" max="16" width="13.28515625" customWidth="1"/>
    <col min="17" max="17" width="16.5703125" customWidth="1"/>
  </cols>
  <sheetData>
    <row r="1" spans="1:17" ht="21" customHeight="1" x14ac:dyDescent="0.25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59" t="s">
        <v>9</v>
      </c>
      <c r="K1" s="61" t="s">
        <v>10</v>
      </c>
      <c r="L1" s="59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</row>
    <row r="2" spans="1:17" ht="38.25" customHeight="1" x14ac:dyDescent="0.25">
      <c r="A2" s="62"/>
      <c r="B2" s="62"/>
      <c r="C2" s="62"/>
      <c r="D2" s="62"/>
      <c r="E2" s="63"/>
      <c r="F2" s="63"/>
      <c r="G2" s="62"/>
      <c r="H2" s="62"/>
      <c r="I2" s="62"/>
      <c r="J2" s="60"/>
      <c r="K2" s="62"/>
      <c r="L2" s="60"/>
      <c r="M2" s="63"/>
      <c r="N2" s="63"/>
      <c r="O2" s="63"/>
      <c r="P2" s="63"/>
      <c r="Q2" s="63"/>
    </row>
    <row r="3" spans="1:17" ht="27.75" customHeight="1" x14ac:dyDescent="0.25">
      <c r="A3" s="1">
        <v>1</v>
      </c>
      <c r="B3" s="2" t="s">
        <v>211</v>
      </c>
      <c r="C3" s="12">
        <v>508054610101</v>
      </c>
      <c r="D3" s="13" t="s">
        <v>203</v>
      </c>
      <c r="E3" s="5" t="s">
        <v>212</v>
      </c>
      <c r="F3" s="5" t="s">
        <v>205</v>
      </c>
      <c r="G3" s="2">
        <v>5</v>
      </c>
      <c r="H3" s="2">
        <v>15560</v>
      </c>
      <c r="I3" s="16">
        <v>11.02</v>
      </c>
      <c r="J3" s="5">
        <f t="shared" ref="J3:J6" si="0">G3*I3</f>
        <v>55.099999999999994</v>
      </c>
      <c r="K3" s="58">
        <v>54.5</v>
      </c>
      <c r="L3" s="7">
        <f>K3+J3</f>
        <v>109.6</v>
      </c>
      <c r="M3" s="8" t="s">
        <v>158</v>
      </c>
      <c r="N3" s="7" t="s">
        <v>168</v>
      </c>
      <c r="O3" s="8" t="s">
        <v>23</v>
      </c>
      <c r="P3" s="18" t="s">
        <v>178</v>
      </c>
      <c r="Q3" s="8" t="s">
        <v>25</v>
      </c>
    </row>
    <row r="4" spans="1:17" ht="30" customHeight="1" x14ac:dyDescent="0.25">
      <c r="A4" s="11">
        <v>2</v>
      </c>
      <c r="B4" s="2" t="s">
        <v>211</v>
      </c>
      <c r="C4" s="53" t="s">
        <v>213</v>
      </c>
      <c r="D4" s="55" t="s">
        <v>214</v>
      </c>
      <c r="E4" s="5" t="s">
        <v>212</v>
      </c>
      <c r="F4" s="5" t="s">
        <v>215</v>
      </c>
      <c r="G4" s="2">
        <v>1</v>
      </c>
      <c r="H4" s="2">
        <v>9550</v>
      </c>
      <c r="I4" s="16">
        <v>37.979999999999997</v>
      </c>
      <c r="J4" s="5">
        <f t="shared" si="0"/>
        <v>37.979999999999997</v>
      </c>
      <c r="K4" s="48">
        <v>44.28</v>
      </c>
      <c r="L4" s="7">
        <f t="shared" ref="L4:L6" si="1">K4+J4</f>
        <v>82.259999999999991</v>
      </c>
      <c r="M4" s="8" t="s">
        <v>107</v>
      </c>
      <c r="N4" s="7" t="s">
        <v>22</v>
      </c>
      <c r="O4" s="8" t="s">
        <v>23</v>
      </c>
      <c r="P4" s="18" t="s">
        <v>179</v>
      </c>
      <c r="Q4" s="8" t="s">
        <v>25</v>
      </c>
    </row>
    <row r="5" spans="1:17" ht="28.5" customHeight="1" x14ac:dyDescent="0.25">
      <c r="A5" s="8">
        <v>3</v>
      </c>
      <c r="B5" s="2" t="s">
        <v>222</v>
      </c>
      <c r="C5" s="3">
        <v>500754303301</v>
      </c>
      <c r="D5" s="2" t="s">
        <v>216</v>
      </c>
      <c r="E5" s="5" t="s">
        <v>217</v>
      </c>
      <c r="F5" s="5" t="s">
        <v>218</v>
      </c>
      <c r="G5" s="2">
        <v>30</v>
      </c>
      <c r="H5" s="2">
        <v>6365</v>
      </c>
      <c r="I5" s="57">
        <v>21.8</v>
      </c>
      <c r="J5" s="5">
        <f t="shared" si="0"/>
        <v>654</v>
      </c>
      <c r="K5" s="48">
        <v>646.20000000000005</v>
      </c>
      <c r="L5" s="7">
        <f t="shared" si="1"/>
        <v>1300.2</v>
      </c>
      <c r="M5" s="8" t="s">
        <v>123</v>
      </c>
      <c r="N5" s="7" t="s">
        <v>124</v>
      </c>
      <c r="O5" s="8" t="s">
        <v>23</v>
      </c>
      <c r="P5" s="18" t="s">
        <v>180</v>
      </c>
      <c r="Q5" s="8" t="s">
        <v>25</v>
      </c>
    </row>
    <row r="6" spans="1:17" ht="33" customHeight="1" x14ac:dyDescent="0.25">
      <c r="A6" s="8">
        <v>4</v>
      </c>
      <c r="B6" s="2" t="s">
        <v>222</v>
      </c>
      <c r="C6" s="53" t="s">
        <v>219</v>
      </c>
      <c r="D6" s="55" t="s">
        <v>220</v>
      </c>
      <c r="E6" s="56" t="s">
        <v>217</v>
      </c>
      <c r="F6" s="5" t="s">
        <v>221</v>
      </c>
      <c r="G6" s="2">
        <v>2</v>
      </c>
      <c r="H6" s="2">
        <v>9550</v>
      </c>
      <c r="I6" s="22">
        <v>37.979999999999997</v>
      </c>
      <c r="J6" s="5">
        <f t="shared" si="0"/>
        <v>75.959999999999994</v>
      </c>
      <c r="K6" s="48">
        <v>88.58</v>
      </c>
      <c r="L6" s="7">
        <f t="shared" si="1"/>
        <v>164.54</v>
      </c>
      <c r="M6" s="8" t="s">
        <v>123</v>
      </c>
      <c r="N6" s="7" t="s">
        <v>22</v>
      </c>
      <c r="O6" s="8" t="s">
        <v>23</v>
      </c>
      <c r="P6" s="21" t="s">
        <v>181</v>
      </c>
      <c r="Q6" s="8" t="s">
        <v>25</v>
      </c>
    </row>
    <row r="7" spans="1:17" ht="39" customHeight="1" x14ac:dyDescent="0.25">
      <c r="A7" s="8">
        <v>5</v>
      </c>
      <c r="B7" s="2" t="s">
        <v>222</v>
      </c>
      <c r="C7" s="53" t="s">
        <v>223</v>
      </c>
      <c r="D7" s="55" t="s">
        <v>18</v>
      </c>
      <c r="E7" s="5" t="s">
        <v>155</v>
      </c>
      <c r="F7" s="5" t="s">
        <v>224</v>
      </c>
      <c r="G7" s="2">
        <v>7</v>
      </c>
      <c r="H7" s="2">
        <v>96</v>
      </c>
      <c r="I7" s="22">
        <v>418.3</v>
      </c>
      <c r="J7" s="5">
        <f t="shared" ref="J7" si="2">G7*I7</f>
        <v>2928.1</v>
      </c>
      <c r="K7" s="48">
        <v>2983.19</v>
      </c>
      <c r="L7" s="7">
        <f t="shared" ref="L7" si="3">K7+J7</f>
        <v>5911.29</v>
      </c>
      <c r="M7" s="8" t="s">
        <v>123</v>
      </c>
      <c r="N7" s="7" t="s">
        <v>22</v>
      </c>
      <c r="O7" s="8" t="s">
        <v>23</v>
      </c>
      <c r="P7" s="21" t="s">
        <v>181</v>
      </c>
      <c r="Q7" s="8" t="s">
        <v>25</v>
      </c>
    </row>
    <row r="8" spans="1:17" ht="36" customHeight="1" x14ac:dyDescent="0.25">
      <c r="A8" s="8">
        <v>6</v>
      </c>
      <c r="B8" s="2" t="s">
        <v>222</v>
      </c>
      <c r="C8" s="53" t="s">
        <v>225</v>
      </c>
      <c r="D8" s="55" t="s">
        <v>18</v>
      </c>
      <c r="E8" s="5" t="s">
        <v>217</v>
      </c>
      <c r="F8" s="5" t="s">
        <v>226</v>
      </c>
      <c r="G8" s="2">
        <v>1</v>
      </c>
      <c r="H8" s="2">
        <v>221</v>
      </c>
      <c r="I8" s="22">
        <v>456.42</v>
      </c>
      <c r="J8" s="5">
        <f t="shared" ref="J8" si="4">G8*I8</f>
        <v>456.42</v>
      </c>
      <c r="K8" s="48">
        <v>538.58000000000004</v>
      </c>
      <c r="L8" s="7">
        <f t="shared" ref="L8" si="5">K8+J8</f>
        <v>995</v>
      </c>
      <c r="M8" s="8" t="s">
        <v>123</v>
      </c>
      <c r="N8" s="7" t="s">
        <v>22</v>
      </c>
      <c r="O8" s="8" t="s">
        <v>23</v>
      </c>
      <c r="P8" s="21" t="s">
        <v>181</v>
      </c>
      <c r="Q8" s="8" t="s">
        <v>25</v>
      </c>
    </row>
  </sheetData>
  <mergeCells count="17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M1:M2"/>
    <mergeCell ref="N1:N2"/>
    <mergeCell ref="O1:O2"/>
    <mergeCell ref="P1:P2"/>
    <mergeCell ref="Q1:Q2"/>
  </mergeCells>
  <pageMargins left="0.7" right="0.7" top="0.75" bottom="0.75" header="0.3" footer="0.3"/>
  <ignoredErrors>
    <ignoredError sqref="C4 C6:C8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1E52B-6A2C-4D50-993E-999EC69BC2FB}">
  <dimension ref="A1:Q6"/>
  <sheetViews>
    <sheetView tabSelected="1" topLeftCell="B1" workbookViewId="0">
      <selection activeCell="K6" sqref="K6"/>
    </sheetView>
  </sheetViews>
  <sheetFormatPr defaultRowHeight="15" x14ac:dyDescent="0.25"/>
  <cols>
    <col min="1" max="1" width="9.28515625" bestFit="1" customWidth="1"/>
    <col min="2" max="2" width="11.85546875" customWidth="1"/>
    <col min="3" max="3" width="16.85546875" bestFit="1" customWidth="1"/>
    <col min="4" max="4" width="19.28515625" customWidth="1"/>
    <col min="5" max="5" width="14.7109375" customWidth="1"/>
    <col min="6" max="6" width="19" customWidth="1"/>
    <col min="7" max="7" width="14.5703125" customWidth="1"/>
    <col min="8" max="8" width="15.5703125" customWidth="1"/>
    <col min="9" max="9" width="17.7109375" customWidth="1"/>
    <col min="10" max="10" width="16.85546875" customWidth="1"/>
    <col min="11" max="11" width="18.42578125" customWidth="1"/>
    <col min="12" max="12" width="14.85546875" customWidth="1"/>
    <col min="13" max="13" width="13.7109375" customWidth="1"/>
    <col min="14" max="14" width="18.85546875" customWidth="1"/>
    <col min="15" max="15" width="14.28515625" customWidth="1"/>
    <col min="16" max="16" width="13.28515625" customWidth="1"/>
    <col min="17" max="17" width="16.5703125" customWidth="1"/>
  </cols>
  <sheetData>
    <row r="1" spans="1:17" ht="21" customHeight="1" x14ac:dyDescent="0.25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59" t="s">
        <v>9</v>
      </c>
      <c r="K1" s="61" t="s">
        <v>10</v>
      </c>
      <c r="L1" s="59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</row>
    <row r="2" spans="1:17" ht="38.25" customHeight="1" x14ac:dyDescent="0.25">
      <c r="A2" s="62"/>
      <c r="B2" s="62"/>
      <c r="C2" s="62"/>
      <c r="D2" s="62"/>
      <c r="E2" s="63"/>
      <c r="F2" s="63"/>
      <c r="G2" s="62"/>
      <c r="H2" s="62"/>
      <c r="I2" s="62"/>
      <c r="J2" s="60"/>
      <c r="K2" s="62"/>
      <c r="L2" s="60"/>
      <c r="M2" s="63"/>
      <c r="N2" s="63"/>
      <c r="O2" s="63"/>
      <c r="P2" s="63"/>
      <c r="Q2" s="63"/>
    </row>
    <row r="3" spans="1:17" ht="27.75" customHeight="1" x14ac:dyDescent="0.25">
      <c r="A3" s="1">
        <v>1</v>
      </c>
      <c r="B3" s="2" t="s">
        <v>227</v>
      </c>
      <c r="C3" s="12">
        <v>287942300177</v>
      </c>
      <c r="D3" s="13" t="s">
        <v>228</v>
      </c>
      <c r="E3" s="5" t="s">
        <v>229</v>
      </c>
      <c r="F3" s="5" t="s">
        <v>230</v>
      </c>
      <c r="G3" s="2">
        <v>38</v>
      </c>
      <c r="H3" s="2">
        <v>3969</v>
      </c>
      <c r="I3" s="16">
        <v>388.99</v>
      </c>
      <c r="J3" s="5">
        <f t="shared" ref="J3:J6" si="0">G3*I3</f>
        <v>14781.62</v>
      </c>
      <c r="K3" s="58">
        <v>15920</v>
      </c>
      <c r="L3" s="7">
        <f>K3+J3</f>
        <v>30701.620000000003</v>
      </c>
      <c r="M3" s="8" t="s">
        <v>158</v>
      </c>
      <c r="N3" s="7" t="s">
        <v>168</v>
      </c>
      <c r="O3" s="8" t="s">
        <v>23</v>
      </c>
      <c r="P3" s="18" t="s">
        <v>178</v>
      </c>
      <c r="Q3" s="8" t="s">
        <v>25</v>
      </c>
    </row>
    <row r="4" spans="1:17" ht="30" customHeight="1" x14ac:dyDescent="0.25">
      <c r="A4" s="11">
        <v>2</v>
      </c>
      <c r="B4" s="2" t="s">
        <v>227</v>
      </c>
      <c r="C4" s="53" t="s">
        <v>231</v>
      </c>
      <c r="D4" s="55" t="s">
        <v>18</v>
      </c>
      <c r="E4" s="5" t="s">
        <v>155</v>
      </c>
      <c r="F4" s="5" t="s">
        <v>232</v>
      </c>
      <c r="G4" s="2">
        <v>1</v>
      </c>
      <c r="H4" s="2">
        <v>1203</v>
      </c>
      <c r="I4" s="16">
        <v>1173.8499999999999</v>
      </c>
      <c r="J4" s="5">
        <f t="shared" si="0"/>
        <v>1173.8499999999999</v>
      </c>
      <c r="K4" s="48">
        <v>1141.46</v>
      </c>
      <c r="L4" s="7">
        <f t="shared" ref="L4:L6" si="1">K4+J4</f>
        <v>2315.31</v>
      </c>
      <c r="M4" s="8" t="s">
        <v>107</v>
      </c>
      <c r="N4" s="7" t="s">
        <v>22</v>
      </c>
      <c r="O4" s="8" t="s">
        <v>23</v>
      </c>
      <c r="P4" s="18" t="s">
        <v>179</v>
      </c>
      <c r="Q4" s="8" t="s">
        <v>25</v>
      </c>
    </row>
    <row r="5" spans="1:17" ht="28.5" customHeight="1" x14ac:dyDescent="0.25">
      <c r="A5" s="8">
        <v>3</v>
      </c>
      <c r="B5" s="2" t="s">
        <v>227</v>
      </c>
      <c r="C5" s="3">
        <v>508846100107</v>
      </c>
      <c r="D5" s="55" t="s">
        <v>18</v>
      </c>
      <c r="E5" s="5" t="s">
        <v>217</v>
      </c>
      <c r="F5" s="5" t="s">
        <v>233</v>
      </c>
      <c r="G5" s="2">
        <v>1</v>
      </c>
      <c r="H5" s="2">
        <v>840</v>
      </c>
      <c r="I5" s="57">
        <v>1241.95</v>
      </c>
      <c r="J5" s="5">
        <f t="shared" si="0"/>
        <v>1241.95</v>
      </c>
      <c r="K5" s="48">
        <v>1206</v>
      </c>
      <c r="L5" s="7">
        <f t="shared" si="1"/>
        <v>2447.9499999999998</v>
      </c>
      <c r="M5" s="8" t="s">
        <v>123</v>
      </c>
      <c r="N5" s="7" t="s">
        <v>124</v>
      </c>
      <c r="O5" s="8" t="s">
        <v>23</v>
      </c>
      <c r="P5" s="18" t="s">
        <v>180</v>
      </c>
      <c r="Q5" s="8" t="s">
        <v>25</v>
      </c>
    </row>
    <row r="6" spans="1:17" ht="33" customHeight="1" x14ac:dyDescent="0.25">
      <c r="A6" s="8">
        <v>4</v>
      </c>
      <c r="B6" s="2" t="s">
        <v>227</v>
      </c>
      <c r="C6" s="53" t="s">
        <v>234</v>
      </c>
      <c r="D6" s="55" t="s">
        <v>235</v>
      </c>
      <c r="E6" s="56" t="s">
        <v>217</v>
      </c>
      <c r="F6" s="5" t="s">
        <v>236</v>
      </c>
      <c r="G6" s="2">
        <v>5</v>
      </c>
      <c r="H6" s="2">
        <v>2003</v>
      </c>
      <c r="I6" s="16">
        <v>510.75</v>
      </c>
      <c r="J6" s="5">
        <f t="shared" si="0"/>
        <v>2553.75</v>
      </c>
      <c r="K6" s="48">
        <v>2110.0500000000002</v>
      </c>
      <c r="L6" s="7">
        <f t="shared" si="1"/>
        <v>4663.8</v>
      </c>
      <c r="M6" s="8" t="s">
        <v>123</v>
      </c>
      <c r="N6" s="7" t="s">
        <v>22</v>
      </c>
      <c r="O6" s="8" t="s">
        <v>23</v>
      </c>
      <c r="P6" s="21" t="s">
        <v>181</v>
      </c>
      <c r="Q6" s="8" t="s">
        <v>25</v>
      </c>
    </row>
  </sheetData>
  <mergeCells count="17">
    <mergeCell ref="M1:M2"/>
    <mergeCell ref="N1:N2"/>
    <mergeCell ref="O1:O2"/>
    <mergeCell ref="P1:P2"/>
    <mergeCell ref="Q1:Q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JULY_2025</vt:lpstr>
      <vt:lpstr>August _2025 (2)</vt:lpstr>
      <vt:lpstr>September_2025</vt:lpstr>
      <vt:lpstr>October_2025</vt:lpstr>
      <vt:lpstr>November  _2025</vt:lpstr>
      <vt:lpstr>December _2025</vt:lpstr>
      <vt:lpstr>January _2026</vt:lpstr>
      <vt:lpstr>February 2026</vt:lpstr>
      <vt:lpstr>March_2026</vt:lpstr>
      <vt:lpstr>April_2026</vt:lpstr>
      <vt:lpstr>May _2026</vt:lpstr>
      <vt:lpstr>June _2026</vt:lpstr>
      <vt:lpstr>July_2026</vt:lpstr>
      <vt:lpstr>August_2026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Afroz Khan</dc:creator>
  <cp:lastModifiedBy>Afroz Khan</cp:lastModifiedBy>
  <dcterms:created xsi:type="dcterms:W3CDTF">2015-06-05T18:17:20Z</dcterms:created>
  <dcterms:modified xsi:type="dcterms:W3CDTF">2026-09-02T12:10:55Z</dcterms:modified>
</cp:coreProperties>
</file>