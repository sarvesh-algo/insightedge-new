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Algo team Data\Customer Rejection\2026\"/>
    </mc:Choice>
  </mc:AlternateContent>
  <xr:revisionPtr revIDLastSave="0" documentId="13_ncr:1_{6A17CC1E-E082-4617-82C3-F079B56FDDEC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Aug'26" sheetId="1" r:id="rId1"/>
    <sheet name="Defects" sheetId="4" state="hidden" r:id="rId2"/>
    <sheet name="Process" sheetId="3" state="hidden" r:id="rId3"/>
  </sheets>
  <definedNames>
    <definedName name="_xlnm._FilterDatabase" localSheetId="0" hidden="1">'Aug''26'!$C$1:$C$27</definedName>
    <definedName name="_xlnm._FilterDatabase" localSheetId="2" hidden="1">Process!$A$1:$A$7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L27" i="1" s="1"/>
  <c r="J22" i="1"/>
  <c r="L22" i="1" s="1"/>
  <c r="J15" i="1"/>
  <c r="L15" i="1" s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3" i="1"/>
  <c r="L23" i="1" s="1"/>
  <c r="J24" i="1"/>
  <c r="L24" i="1" s="1"/>
  <c r="J25" i="1"/>
  <c r="L25" i="1" s="1"/>
  <c r="J26" i="1"/>
  <c r="L26" i="1" s="1"/>
  <c r="C1" i="3" a="1"/>
  <c r="C1" i="3" s="1"/>
  <c r="C1" i="4" a="1"/>
  <c r="C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<sst xmlns="http://schemas.openxmlformats.org/spreadsheetml/2006/main" count="298" uniqueCount="169">
  <si>
    <t>Sr. No.</t>
  </si>
  <si>
    <t>Date</t>
  </si>
  <si>
    <t>Part No.</t>
  </si>
  <si>
    <t>Part Name</t>
  </si>
  <si>
    <t>Defect Description</t>
  </si>
  <si>
    <t>Process Description</t>
  </si>
  <si>
    <t>Unit Location</t>
  </si>
  <si>
    <t>Machine</t>
  </si>
  <si>
    <t>Location</t>
  </si>
  <si>
    <t>Unit 1</t>
  </si>
  <si>
    <t>Assembly</t>
  </si>
  <si>
    <t>Logistics</t>
  </si>
  <si>
    <t>Machining</t>
  </si>
  <si>
    <t>Pressing</t>
  </si>
  <si>
    <t>Surface protection</t>
  </si>
  <si>
    <t>Welding</t>
  </si>
  <si>
    <t>Adhesion Fail</t>
  </si>
  <si>
    <t>Angle Not OK</t>
  </si>
  <si>
    <t>Bkt missing</t>
  </si>
  <si>
    <t>Blank Burr</t>
  </si>
  <si>
    <t>Blank Cut</t>
  </si>
  <si>
    <t>Blistering</t>
  </si>
  <si>
    <t>Blow Hole</t>
  </si>
  <si>
    <t>Bubble mark</t>
  </si>
  <si>
    <t>Burr</t>
  </si>
  <si>
    <t>Coating Damage</t>
  </si>
  <si>
    <t>Corner Cut</t>
  </si>
  <si>
    <t>Crack</t>
  </si>
  <si>
    <t>Crater Pipe</t>
  </si>
  <si>
    <t>Deep Spot</t>
  </si>
  <si>
    <t>Defective loose parts </t>
  </si>
  <si>
    <t xml:space="preserve">Dent </t>
  </si>
  <si>
    <t>Development Rejection </t>
  </si>
  <si>
    <t>Dimension not ok</t>
  </si>
  <si>
    <t>Excess Back Penetration</t>
  </si>
  <si>
    <t xml:space="preserve">Excess powder </t>
  </si>
  <si>
    <t xml:space="preserve">Fitment Issue    </t>
  </si>
  <si>
    <t>Forming shift</t>
  </si>
  <si>
    <t>Forming Taper/coller open</t>
  </si>
  <si>
    <t xml:space="preserve">Fouling Issue  </t>
  </si>
  <si>
    <t>Hole burr</t>
  </si>
  <si>
    <t>Hole Concentricity</t>
  </si>
  <si>
    <t xml:space="preserve">Hole Mismatch </t>
  </si>
  <si>
    <t>Hole missing</t>
  </si>
  <si>
    <t>Hole Oblong</t>
  </si>
  <si>
    <t>Hole Oversize</t>
  </si>
  <si>
    <t>Hole pull up/Oblong</t>
  </si>
  <si>
    <t>Hole shift</t>
  </si>
  <si>
    <t>Hole Undersize</t>
  </si>
  <si>
    <t>Hook Mark</t>
  </si>
  <si>
    <t>Incomplete Joint</t>
  </si>
  <si>
    <t>Lack Of Fusion</t>
  </si>
  <si>
    <t xml:space="preserve">Logistic Damage          </t>
  </si>
  <si>
    <t>Logistic not as per requirement</t>
  </si>
  <si>
    <t>Low DFT</t>
  </si>
  <si>
    <t>Machining burr</t>
  </si>
  <si>
    <t>Material fold</t>
  </si>
  <si>
    <t>Nut missing</t>
  </si>
  <si>
    <t>Nut shift/Offset</t>
  </si>
  <si>
    <t>Operation Missing</t>
  </si>
  <si>
    <t>Paint damage</t>
  </si>
  <si>
    <t>Part wrong/Taper</t>
  </si>
  <si>
    <t>Peeling</t>
  </si>
  <si>
    <t>Pin Holes</t>
  </si>
  <si>
    <t>plating low</t>
  </si>
  <si>
    <t>Poor Welding</t>
  </si>
  <si>
    <t>Porosity</t>
  </si>
  <si>
    <t>Retainer gap</t>
  </si>
  <si>
    <t xml:space="preserve">RUPD Strip Direction Wrong          </t>
  </si>
  <si>
    <t>Rusty</t>
  </si>
  <si>
    <t>Scoring</t>
  </si>
  <si>
    <t>Scratch mark</t>
  </si>
  <si>
    <t>Shabby welding</t>
  </si>
  <si>
    <t>Shearing size oversize</t>
  </si>
  <si>
    <t>Shearing size undersize</t>
  </si>
  <si>
    <t>Slot Missing</t>
  </si>
  <si>
    <t>Spot burr</t>
  </si>
  <si>
    <t>Spot missing</t>
  </si>
  <si>
    <t>Spot Open</t>
  </si>
  <si>
    <t>Step Marks In Hole</t>
  </si>
  <si>
    <t>Stud missing</t>
  </si>
  <si>
    <t>Surface roughness</t>
  </si>
  <si>
    <t>Taper Nut</t>
  </si>
  <si>
    <t>Tapping Not ok</t>
  </si>
  <si>
    <t>Thinning</t>
  </si>
  <si>
    <t>Thread damage</t>
  </si>
  <si>
    <t>Thread missing</t>
  </si>
  <si>
    <t>Trolley wheel jam</t>
  </si>
  <si>
    <t>Uncover coating</t>
  </si>
  <si>
    <t>Wall Thickness Oversize</t>
  </si>
  <si>
    <t>Wall Thickness Undersize</t>
  </si>
  <si>
    <t>Weaviness</t>
  </si>
  <si>
    <t>Weld Burn</t>
  </si>
  <si>
    <t>Welding missing</t>
  </si>
  <si>
    <t>Welding Overlapp</t>
  </si>
  <si>
    <t>Welding spatter</t>
  </si>
  <si>
    <t>Welding Undercut</t>
  </si>
  <si>
    <t xml:space="preserve">Wire Rope Cut    </t>
  </si>
  <si>
    <t>Wrinkle</t>
  </si>
  <si>
    <t>Wrong Challan</t>
  </si>
  <si>
    <t>Wrong forming</t>
  </si>
  <si>
    <t>Wrong Material </t>
  </si>
  <si>
    <t>Wrong part packing</t>
  </si>
  <si>
    <t>Wrong screening</t>
  </si>
  <si>
    <t>Wrong sticker</t>
  </si>
  <si>
    <t>Wrong thickness</t>
  </si>
  <si>
    <t>Wrong weld nut</t>
  </si>
  <si>
    <r>
      <t xml:space="preserve">Defects Dropdown </t>
    </r>
    <r>
      <rPr>
        <sz val="10"/>
        <color rgb="FF000000"/>
        <rFont val="Arial"/>
        <family val="2"/>
      </rPr>
      <t>(Type of Defects)</t>
    </r>
  </si>
  <si>
    <r>
      <t xml:space="preserve">Cost per part </t>
    </r>
    <r>
      <rPr>
        <sz val="10"/>
        <color rgb="FF000000"/>
        <rFont val="Arial"/>
        <family val="2"/>
      </rPr>
      <t>(Individual part cost)</t>
    </r>
  </si>
  <si>
    <r>
      <t xml:space="preserve">Rejection Cost </t>
    </r>
    <r>
      <rPr>
        <sz val="10"/>
        <color rgb="FF000000"/>
        <rFont val="Arial"/>
        <family val="2"/>
      </rPr>
      <t>(Rejection quantity x Cost per part)</t>
    </r>
  </si>
  <si>
    <r>
      <t xml:space="preserve">Debit cost </t>
    </r>
    <r>
      <rPr>
        <sz val="10"/>
        <color rgb="FF000000"/>
        <rFont val="Arial"/>
        <family val="2"/>
      </rPr>
      <t>(Penalty from buyer)</t>
    </r>
  </si>
  <si>
    <r>
      <t xml:space="preserve">Total Rejection Cost </t>
    </r>
    <r>
      <rPr>
        <sz val="10"/>
        <color rgb="FF000000"/>
        <rFont val="Arial"/>
        <family val="2"/>
      </rPr>
      <t>(Rejection Cost + Debit Cost)</t>
    </r>
  </si>
  <si>
    <r>
      <t xml:space="preserve">Process Dropdown </t>
    </r>
    <r>
      <rPr>
        <sz val="10"/>
        <color rgb="FF000000"/>
        <rFont val="Arial"/>
        <family val="2"/>
      </rPr>
      <t>(Type of Process)</t>
    </r>
  </si>
  <si>
    <r>
      <t xml:space="preserve">Rejection Quantity </t>
    </r>
    <r>
      <rPr>
        <sz val="10"/>
        <color rgb="FF000000"/>
        <rFont val="Arial"/>
        <family val="2"/>
      </rPr>
      <t>(No. of parts rejected)</t>
    </r>
    <r>
      <rPr>
        <b/>
        <sz val="10"/>
        <color rgb="FF000000"/>
        <rFont val="Arial"/>
        <family val="2"/>
      </rPr>
      <t xml:space="preserve"> </t>
    </r>
  </si>
  <si>
    <t>Other</t>
  </si>
  <si>
    <t>Hole issue</t>
  </si>
  <si>
    <r>
      <t xml:space="preserve">Sale Quantity </t>
    </r>
    <r>
      <rPr>
        <sz val="10"/>
        <color rgb="FF000000"/>
        <rFont val="Arial"/>
        <family val="2"/>
      </rPr>
      <t>(No. of parts dispatched)</t>
    </r>
  </si>
  <si>
    <t>LKN</t>
  </si>
  <si>
    <t>FES STRUCTURE</t>
  </si>
  <si>
    <t>FES STRUCTURE ASSY</t>
  </si>
  <si>
    <t>5507D1A1860001</t>
  </si>
  <si>
    <t>5165D9X0160004</t>
  </si>
  <si>
    <t>OUTRIGGER ASSY,CHASSIS SIDE,LH</t>
  </si>
  <si>
    <t>OUTRIGGER ASSY,CHASSIS SIDE,RH</t>
  </si>
  <si>
    <t>Gap observed and welding missing due to position</t>
  </si>
  <si>
    <t>Outsource</t>
  </si>
  <si>
    <t>SI/LKN-23/137/88/80/79/45</t>
  </si>
  <si>
    <t>SI/LKN-45/91/88/72</t>
  </si>
  <si>
    <t>SH/LKN/CWM /121/120/128</t>
  </si>
  <si>
    <t>ASSY FUPD CROSS BEAM</t>
  </si>
  <si>
    <t>BRACKET ASSY,BATTERY CUT OFF SWITCH MTG</t>
  </si>
  <si>
    <t>BRACKET ASSY</t>
  </si>
  <si>
    <t>SPARE WHEEL CARRIER ASSY.</t>
  </si>
  <si>
    <t>BRACKET ASSY,FRAME SIDE,RH</t>
  </si>
  <si>
    <t>BRACKET ASSY,FRAME SIDE,LH</t>
  </si>
  <si>
    <t>2642D1A1860001</t>
  </si>
  <si>
    <t>BRACKET ASSY,TOP-RH</t>
  </si>
  <si>
    <t>WHEEL ARCH ASSY,FRONT-RH</t>
  </si>
  <si>
    <t>BRACKET ASSY,TAIL LAMP MTG</t>
  </si>
  <si>
    <t>FUPD ASSY,CROSS BEAM</t>
  </si>
  <si>
    <t>BRACKET ASSY,JACK MTG</t>
  </si>
  <si>
    <t>-Hole center to end 50Â±0.5mm. obs. 48.20</t>
  </si>
  <si>
    <t>Dim 28.0Â±2.0 mm. Observed 36.16mm</t>
  </si>
  <si>
    <t>Surface Protection Coating Poor Finish</t>
  </si>
  <si>
    <t>Rust Observed on Surface.Silver Spray Apply Agains</t>
  </si>
  <si>
    <t xml:space="preserve"> Dim 28.0Â±2.0 mm. Observed 36.12mm</t>
  </si>
  <si>
    <t>Dim 28.0Â±2.0 mm. Observed 48.86</t>
  </si>
  <si>
    <t>Spare Wheel Carrer Assy. Handle Taper We</t>
  </si>
  <si>
    <t>Paint Peel off</t>
  </si>
  <si>
    <t>Seat belt bracket missing observed.</t>
  </si>
  <si>
    <t>1. One side NIL weld penetration &amp; fusion observed</t>
  </si>
  <si>
    <t>Plate Part no. 410331317111 not welded in wheel ar</t>
  </si>
  <si>
    <t>Plate Bending Orientation Wrong .</t>
  </si>
  <si>
    <t>Sharp edges /Burrs Observed</t>
  </si>
  <si>
    <t>Top Square tube crack observed</t>
  </si>
  <si>
    <t>Missing GSL bracket.</t>
  </si>
  <si>
    <t>Bump found near welded hex nutThread Not</t>
  </si>
  <si>
    <t>Hole Dia 15 mm. Bolt Not Pass Inside Hole Due To H</t>
  </si>
  <si>
    <t>Dim 47+-1 Obs 45, Dim 50+-1 Obs 54</t>
  </si>
  <si>
    <t>Heavy rust observed at many places</t>
  </si>
  <si>
    <t>Dimension 27+- 1 Obs 25,Dimension 47+- 1 Obs up to</t>
  </si>
  <si>
    <t>Dimension 27+- 1 Obs 25 Dim 47+- 1 Obs up to 45</t>
  </si>
  <si>
    <t>1- M6 Hex weld nut not weld (missing)</t>
  </si>
  <si>
    <t>Low pist observed (46.6)</t>
  </si>
  <si>
    <t>SI/LKN-24/31/29/30</t>
  </si>
  <si>
    <t>PUNE</t>
  </si>
  <si>
    <t>Unit 2</t>
  </si>
  <si>
    <t>M/C 200 Ton</t>
  </si>
  <si>
    <t>SI/LKN- 18/60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</si>
</sst>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15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27"/>
  <sheetViews>
    <sheetView tabSelected="1" zoomScale="85" zoomScaleNormal="85" workbookViewId="0">
      <selection activeCell="E15" sqref="E15"/>
    </sheetView>
  </sheetViews>
  <sheetFormatPr defaultRowHeight="15" x14ac:dyDescent="0.25"/>
  <cols>
    <col min="2" max="2" width="11.85546875" customWidth="1"/>
    <col min="3" max="3" width="15.7109375" bestFit="1" customWidth="1"/>
    <col min="4" max="4" width="35" customWidth="1"/>
    <col min="5" max="5" width="17.7109375" customWidth="1"/>
    <col min="6" max="6" width="49.28515625" customWidth="1"/>
    <col min="7" max="7" width="19.42578125" customWidth="1"/>
    <col min="8" max="8" width="15.5703125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14.28515625" customWidth="1"/>
    <col min="16" max="16" width="30.85546875" style="11" customWidth="1"/>
    <col min="17" max="17" width="16.5703125" customWidth="1"/>
  </cols>
  <sheetData>
    <row r="1" spans="1:17" ht="21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107</v>
      </c>
      <c r="F1" s="13" t="s">
        <v>4</v>
      </c>
      <c r="G1" s="13" t="s">
        <v>113</v>
      </c>
      <c r="H1" s="13" t="s">
        <v>116</v>
      </c>
      <c r="I1" s="13" t="s">
        <v>108</v>
      </c>
      <c r="J1" s="15" t="s">
        <v>109</v>
      </c>
      <c r="K1" s="13" t="s">
        <v>110</v>
      </c>
      <c r="L1" s="15" t="s">
        <v>111</v>
      </c>
      <c r="M1" s="13" t="s">
        <v>112</v>
      </c>
      <c r="N1" s="13" t="s">
        <v>5</v>
      </c>
      <c r="O1" s="13" t="s">
        <v>6</v>
      </c>
      <c r="P1" s="13" t="s">
        <v>7</v>
      </c>
      <c r="Q1" s="13" t="s">
        <v>8</v>
      </c>
    </row>
    <row r="2" spans="1:17" ht="21.6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6"/>
      <c r="K2" s="14"/>
      <c r="L2" s="16"/>
      <c r="M2" s="14"/>
      <c r="N2" s="14"/>
      <c r="O2" s="14"/>
      <c r="P2" s="14"/>
      <c r="Q2" s="14"/>
    </row>
    <row r="3" spans="1:17" ht="21" customHeight="1" x14ac:dyDescent="0.25">
      <c r="A3" s="7">
        <v>1</v>
      </c>
      <c r="B3" s="10">
        <v>46237</v>
      </c>
      <c r="C3" s="5" t="s">
        <v>121</v>
      </c>
      <c r="D3" s="6" t="s">
        <v>119</v>
      </c>
      <c r="E3" s="8" t="s">
        <v>93</v>
      </c>
      <c r="F3" s="9" t="s">
        <v>124</v>
      </c>
      <c r="G3" s="6">
        <v>1</v>
      </c>
      <c r="H3" s="4">
        <v>292</v>
      </c>
      <c r="I3" s="12">
        <v>20972.06</v>
      </c>
      <c r="J3" s="8">
        <f>G3*I3</f>
        <v>20972.06</v>
      </c>
      <c r="K3" s="8">
        <v>0</v>
      </c>
      <c r="L3" s="8">
        <f>SUM(J3:K3)</f>
        <v>20972.06</v>
      </c>
      <c r="M3" s="8" t="s">
        <v>10</v>
      </c>
      <c r="N3" s="8"/>
      <c r="O3" s="6" t="s">
        <v>9</v>
      </c>
      <c r="P3" s="6" t="s">
        <v>128</v>
      </c>
      <c r="Q3" s="7" t="s">
        <v>117</v>
      </c>
    </row>
    <row r="4" spans="1:17" ht="21" customHeight="1" x14ac:dyDescent="0.25">
      <c r="A4" s="7">
        <v>2</v>
      </c>
      <c r="B4" s="10">
        <v>46238</v>
      </c>
      <c r="C4" s="5">
        <v>284931700132</v>
      </c>
      <c r="D4" s="6" t="s">
        <v>129</v>
      </c>
      <c r="E4" s="8" t="s">
        <v>33</v>
      </c>
      <c r="F4" s="9" t="s">
        <v>141</v>
      </c>
      <c r="G4" s="6">
        <v>2</v>
      </c>
      <c r="H4" s="4">
        <v>793</v>
      </c>
      <c r="I4" s="12">
        <v>2420.54</v>
      </c>
      <c r="J4" s="8">
        <f t="shared" ref="J4:J26" si="0">G4*I4</f>
        <v>4841.08</v>
      </c>
      <c r="K4" s="8">
        <v>0</v>
      </c>
      <c r="L4" s="8">
        <f t="shared" ref="L4:L27" si="1">SUM(J4:K4)</f>
        <v>4841.08</v>
      </c>
      <c r="M4" s="8" t="s">
        <v>10</v>
      </c>
      <c r="N4" s="8"/>
      <c r="O4" s="6" t="s">
        <v>125</v>
      </c>
      <c r="P4" s="6" t="s">
        <v>125</v>
      </c>
      <c r="Q4" s="7" t="s">
        <v>117</v>
      </c>
    </row>
    <row r="5" spans="1:17" ht="21" customHeight="1" x14ac:dyDescent="0.25">
      <c r="A5" s="7">
        <v>3</v>
      </c>
      <c r="B5" s="10">
        <v>46238</v>
      </c>
      <c r="C5" s="5">
        <v>268088500248</v>
      </c>
      <c r="D5" s="6" t="s">
        <v>122</v>
      </c>
      <c r="E5" s="8" t="s">
        <v>33</v>
      </c>
      <c r="F5" s="9" t="s">
        <v>142</v>
      </c>
      <c r="G5" s="6">
        <v>1</v>
      </c>
      <c r="H5" s="4">
        <v>543</v>
      </c>
      <c r="I5" s="12">
        <v>548.88</v>
      </c>
      <c r="J5" s="8">
        <f t="shared" si="0"/>
        <v>548.88</v>
      </c>
      <c r="K5" s="8">
        <v>0</v>
      </c>
      <c r="L5" s="8">
        <f t="shared" si="1"/>
        <v>548.88</v>
      </c>
      <c r="M5" s="8" t="s">
        <v>10</v>
      </c>
      <c r="N5" s="8"/>
      <c r="O5" s="6" t="s">
        <v>9</v>
      </c>
      <c r="P5" s="6" t="s">
        <v>164</v>
      </c>
      <c r="Q5" s="7" t="s">
        <v>117</v>
      </c>
    </row>
    <row r="6" spans="1:17" ht="21" customHeight="1" x14ac:dyDescent="0.25">
      <c r="A6" s="7">
        <v>4</v>
      </c>
      <c r="B6" s="10">
        <v>46238</v>
      </c>
      <c r="C6" s="5">
        <v>553354500116</v>
      </c>
      <c r="D6" s="6" t="s">
        <v>130</v>
      </c>
      <c r="E6" s="8" t="s">
        <v>60</v>
      </c>
      <c r="F6" s="9" t="s">
        <v>143</v>
      </c>
      <c r="G6" s="6">
        <v>11</v>
      </c>
      <c r="H6" s="4">
        <v>1635</v>
      </c>
      <c r="I6" s="12">
        <v>50.25</v>
      </c>
      <c r="J6" s="8">
        <f t="shared" si="0"/>
        <v>552.75</v>
      </c>
      <c r="K6" s="8">
        <v>0</v>
      </c>
      <c r="L6" s="8">
        <f t="shared" si="1"/>
        <v>552.75</v>
      </c>
      <c r="M6" s="8" t="s">
        <v>14</v>
      </c>
      <c r="N6" s="8"/>
      <c r="O6" s="6" t="s">
        <v>125</v>
      </c>
      <c r="P6" s="6" t="s">
        <v>125</v>
      </c>
      <c r="Q6" s="7" t="s">
        <v>117</v>
      </c>
    </row>
    <row r="7" spans="1:17" ht="21" customHeight="1" x14ac:dyDescent="0.25">
      <c r="A7" s="7">
        <v>5</v>
      </c>
      <c r="B7" s="10">
        <v>46238</v>
      </c>
      <c r="C7" s="5">
        <v>290054600182</v>
      </c>
      <c r="D7" s="6" t="s">
        <v>131</v>
      </c>
      <c r="E7" s="8" t="s">
        <v>64</v>
      </c>
      <c r="F7" s="9" t="s">
        <v>144</v>
      </c>
      <c r="G7" s="6">
        <v>22</v>
      </c>
      <c r="H7" s="4">
        <v>350</v>
      </c>
      <c r="I7" s="12">
        <v>52.02</v>
      </c>
      <c r="J7" s="8">
        <f t="shared" si="0"/>
        <v>1144.44</v>
      </c>
      <c r="K7" s="8">
        <v>0</v>
      </c>
      <c r="L7" s="8">
        <f t="shared" si="1"/>
        <v>1144.44</v>
      </c>
      <c r="M7" s="8" t="s">
        <v>14</v>
      </c>
      <c r="N7" s="8"/>
      <c r="O7" s="6" t="s">
        <v>125</v>
      </c>
      <c r="P7" s="6" t="s">
        <v>125</v>
      </c>
      <c r="Q7" s="7" t="s">
        <v>117</v>
      </c>
    </row>
    <row r="8" spans="1:17" ht="21" customHeight="1" x14ac:dyDescent="0.25">
      <c r="A8" s="7">
        <v>6</v>
      </c>
      <c r="B8" s="10">
        <v>46238</v>
      </c>
      <c r="C8" s="5">
        <v>268088500243</v>
      </c>
      <c r="D8" s="6" t="s">
        <v>123</v>
      </c>
      <c r="E8" s="8" t="s">
        <v>33</v>
      </c>
      <c r="F8" s="9" t="s">
        <v>145</v>
      </c>
      <c r="G8" s="6">
        <v>1</v>
      </c>
      <c r="H8" s="4">
        <v>2119</v>
      </c>
      <c r="I8" s="12">
        <v>533.25</v>
      </c>
      <c r="J8" s="8">
        <f t="shared" si="0"/>
        <v>533.25</v>
      </c>
      <c r="K8" s="8">
        <v>0</v>
      </c>
      <c r="L8" s="8">
        <f t="shared" si="1"/>
        <v>533.25</v>
      </c>
      <c r="M8" s="8" t="s">
        <v>10</v>
      </c>
      <c r="N8" s="8"/>
      <c r="O8" s="6" t="s">
        <v>9</v>
      </c>
      <c r="P8" s="6" t="s">
        <v>164</v>
      </c>
      <c r="Q8" s="7" t="s">
        <v>117</v>
      </c>
    </row>
    <row r="9" spans="1:17" ht="21" customHeight="1" x14ac:dyDescent="0.25">
      <c r="A9" s="7">
        <v>7</v>
      </c>
      <c r="B9" s="10">
        <v>46239</v>
      </c>
      <c r="C9" s="5">
        <v>268088500248</v>
      </c>
      <c r="D9" s="6" t="s">
        <v>122</v>
      </c>
      <c r="E9" s="8" t="s">
        <v>33</v>
      </c>
      <c r="F9" s="9" t="s">
        <v>146</v>
      </c>
      <c r="G9" s="6">
        <v>5</v>
      </c>
      <c r="H9" s="4">
        <v>543</v>
      </c>
      <c r="I9" s="12">
        <v>548.88</v>
      </c>
      <c r="J9" s="8">
        <f t="shared" si="0"/>
        <v>2744.4</v>
      </c>
      <c r="K9" s="8">
        <v>0</v>
      </c>
      <c r="L9" s="8">
        <f t="shared" si="1"/>
        <v>2744.4</v>
      </c>
      <c r="M9" s="8" t="s">
        <v>10</v>
      </c>
      <c r="N9" s="8"/>
      <c r="O9" s="6" t="s">
        <v>9</v>
      </c>
      <c r="P9" s="6" t="s">
        <v>164</v>
      </c>
      <c r="Q9" s="7" t="s">
        <v>117</v>
      </c>
    </row>
    <row r="10" spans="1:17" ht="21" customHeight="1" x14ac:dyDescent="0.25">
      <c r="A10" s="7">
        <v>8</v>
      </c>
      <c r="B10" s="10">
        <v>46239</v>
      </c>
      <c r="C10" s="5">
        <v>550740300111</v>
      </c>
      <c r="D10" s="6" t="s">
        <v>132</v>
      </c>
      <c r="E10" s="8" t="s">
        <v>61</v>
      </c>
      <c r="F10" s="9" t="s">
        <v>147</v>
      </c>
      <c r="G10" s="6">
        <v>1</v>
      </c>
      <c r="H10" s="4">
        <v>688</v>
      </c>
      <c r="I10" s="12">
        <v>1351.13</v>
      </c>
      <c r="J10" s="8">
        <f t="shared" si="0"/>
        <v>1351.13</v>
      </c>
      <c r="K10" s="8">
        <v>0</v>
      </c>
      <c r="L10" s="8">
        <f t="shared" si="1"/>
        <v>1351.13</v>
      </c>
      <c r="M10" s="8" t="s">
        <v>10</v>
      </c>
      <c r="N10" s="8"/>
      <c r="O10" s="6" t="s">
        <v>125</v>
      </c>
      <c r="P10" s="6" t="s">
        <v>125</v>
      </c>
      <c r="Q10" s="7" t="s">
        <v>165</v>
      </c>
    </row>
    <row r="11" spans="1:17" ht="21" customHeight="1" x14ac:dyDescent="0.25">
      <c r="A11" s="7">
        <v>9</v>
      </c>
      <c r="B11" s="10">
        <v>46239</v>
      </c>
      <c r="C11" s="5">
        <v>502324100136</v>
      </c>
      <c r="D11" s="6" t="s">
        <v>133</v>
      </c>
      <c r="E11" s="8" t="s">
        <v>62</v>
      </c>
      <c r="F11" s="9" t="s">
        <v>148</v>
      </c>
      <c r="G11" s="6">
        <v>2</v>
      </c>
      <c r="H11" s="4">
        <v>23</v>
      </c>
      <c r="I11" s="12">
        <v>2728.88</v>
      </c>
      <c r="J11" s="8">
        <f t="shared" si="0"/>
        <v>5457.76</v>
      </c>
      <c r="K11" s="8">
        <v>0</v>
      </c>
      <c r="L11" s="8">
        <f t="shared" si="1"/>
        <v>5457.76</v>
      </c>
      <c r="M11" s="8" t="s">
        <v>14</v>
      </c>
      <c r="N11" s="8"/>
      <c r="O11" s="6" t="s">
        <v>125</v>
      </c>
      <c r="P11" s="6" t="s">
        <v>125</v>
      </c>
      <c r="Q11" s="7" t="s">
        <v>117</v>
      </c>
    </row>
    <row r="12" spans="1:17" ht="21" customHeight="1" x14ac:dyDescent="0.25">
      <c r="A12" s="7">
        <v>10</v>
      </c>
      <c r="B12" s="10">
        <v>46239</v>
      </c>
      <c r="C12" s="5">
        <v>502324100135</v>
      </c>
      <c r="D12" s="6" t="s">
        <v>134</v>
      </c>
      <c r="E12" s="8" t="s">
        <v>62</v>
      </c>
      <c r="F12" s="9" t="s">
        <v>148</v>
      </c>
      <c r="G12" s="6">
        <v>3</v>
      </c>
      <c r="H12" s="4">
        <v>23</v>
      </c>
      <c r="I12" s="12">
        <v>2728.88</v>
      </c>
      <c r="J12" s="8">
        <f t="shared" si="0"/>
        <v>8186.64</v>
      </c>
      <c r="K12" s="8">
        <v>0</v>
      </c>
      <c r="L12" s="8">
        <f t="shared" si="1"/>
        <v>8186.64</v>
      </c>
      <c r="M12" s="8" t="s">
        <v>14</v>
      </c>
      <c r="N12" s="8"/>
      <c r="O12" s="6" t="s">
        <v>125</v>
      </c>
      <c r="P12" s="6" t="s">
        <v>125</v>
      </c>
      <c r="Q12" s="7" t="s">
        <v>117</v>
      </c>
    </row>
    <row r="13" spans="1:17" ht="21" customHeight="1" x14ac:dyDescent="0.25">
      <c r="A13" s="7">
        <v>11</v>
      </c>
      <c r="B13" s="10">
        <v>46240</v>
      </c>
      <c r="C13" s="5" t="s">
        <v>135</v>
      </c>
      <c r="D13" s="6" t="s">
        <v>118</v>
      </c>
      <c r="E13" s="8" t="s">
        <v>18</v>
      </c>
      <c r="F13" s="9" t="s">
        <v>149</v>
      </c>
      <c r="G13" s="6">
        <v>1</v>
      </c>
      <c r="H13" s="4">
        <v>376</v>
      </c>
      <c r="I13" s="12">
        <v>16583.560000000001</v>
      </c>
      <c r="J13" s="8">
        <f t="shared" si="0"/>
        <v>16583.560000000001</v>
      </c>
      <c r="K13" s="8">
        <v>0</v>
      </c>
      <c r="L13" s="8">
        <f t="shared" si="1"/>
        <v>16583.560000000001</v>
      </c>
      <c r="M13" s="8" t="s">
        <v>10</v>
      </c>
      <c r="N13" s="8"/>
      <c r="O13" s="6" t="s">
        <v>9</v>
      </c>
      <c r="P13" s="6" t="s">
        <v>126</v>
      </c>
      <c r="Q13" s="7" t="s">
        <v>117</v>
      </c>
    </row>
    <row r="14" spans="1:17" ht="21" customHeight="1" x14ac:dyDescent="0.25">
      <c r="A14" s="7">
        <v>12</v>
      </c>
      <c r="B14" s="10">
        <v>46241</v>
      </c>
      <c r="C14" s="5">
        <v>553324100110</v>
      </c>
      <c r="D14" s="6" t="s">
        <v>136</v>
      </c>
      <c r="E14" s="8" t="s">
        <v>114</v>
      </c>
      <c r="F14" s="9" t="s">
        <v>150</v>
      </c>
      <c r="G14" s="6">
        <v>1</v>
      </c>
      <c r="H14" s="4">
        <v>17</v>
      </c>
      <c r="I14" s="12">
        <v>845.18</v>
      </c>
      <c r="J14" s="8">
        <f t="shared" si="0"/>
        <v>845.18</v>
      </c>
      <c r="K14" s="8">
        <v>0</v>
      </c>
      <c r="L14" s="8">
        <f t="shared" si="1"/>
        <v>845.18</v>
      </c>
      <c r="M14" s="8" t="s">
        <v>10</v>
      </c>
      <c r="N14" s="8"/>
      <c r="O14" s="6" t="s">
        <v>9</v>
      </c>
      <c r="P14" s="6" t="s">
        <v>168</v>
      </c>
      <c r="Q14" s="7" t="s">
        <v>117</v>
      </c>
    </row>
    <row r="15" spans="1:17" ht="21" customHeight="1" x14ac:dyDescent="0.25">
      <c r="A15" s="7">
        <v>13</v>
      </c>
      <c r="B15" s="10">
        <v>46241</v>
      </c>
      <c r="C15" s="5">
        <v>410331700109</v>
      </c>
      <c r="D15" s="6" t="s">
        <v>137</v>
      </c>
      <c r="E15" s="8" t="s">
        <v>18</v>
      </c>
      <c r="F15" s="9" t="s">
        <v>151</v>
      </c>
      <c r="G15" s="6">
        <v>1</v>
      </c>
      <c r="H15" s="4">
        <v>25</v>
      </c>
      <c r="I15" s="12">
        <v>5578.6</v>
      </c>
      <c r="J15" s="8">
        <f>G15*I15</f>
        <v>5578.6</v>
      </c>
      <c r="K15" s="8">
        <v>0</v>
      </c>
      <c r="L15" s="8">
        <f t="shared" si="1"/>
        <v>5578.6</v>
      </c>
      <c r="M15" s="8" t="s">
        <v>10</v>
      </c>
      <c r="N15" s="8"/>
      <c r="O15" s="6" t="s">
        <v>9</v>
      </c>
      <c r="P15" s="6" t="s">
        <v>168</v>
      </c>
      <c r="Q15" s="7" t="s">
        <v>117</v>
      </c>
    </row>
    <row r="16" spans="1:17" ht="21" customHeight="1" x14ac:dyDescent="0.25">
      <c r="A16" s="7">
        <v>14</v>
      </c>
      <c r="B16" s="10">
        <v>46244</v>
      </c>
      <c r="C16" s="5">
        <v>290054600182</v>
      </c>
      <c r="D16" s="6" t="s">
        <v>131</v>
      </c>
      <c r="E16" s="8" t="s">
        <v>61</v>
      </c>
      <c r="F16" s="9" t="s">
        <v>152</v>
      </c>
      <c r="G16" s="6">
        <v>27</v>
      </c>
      <c r="H16" s="4">
        <v>350</v>
      </c>
      <c r="I16" s="12">
        <v>52.02</v>
      </c>
      <c r="J16" s="8">
        <f t="shared" si="0"/>
        <v>1404.5400000000002</v>
      </c>
      <c r="K16" s="8">
        <v>0</v>
      </c>
      <c r="L16" s="8">
        <f t="shared" si="1"/>
        <v>1404.5400000000002</v>
      </c>
      <c r="M16" s="8" t="s">
        <v>10</v>
      </c>
      <c r="N16" s="8"/>
      <c r="O16" s="6" t="s">
        <v>9</v>
      </c>
      <c r="P16" s="6" t="s">
        <v>168</v>
      </c>
      <c r="Q16" s="7" t="s">
        <v>117</v>
      </c>
    </row>
    <row r="17" spans="1:17" ht="21" customHeight="1" x14ac:dyDescent="0.25">
      <c r="A17" s="7">
        <v>15</v>
      </c>
      <c r="B17" s="10">
        <v>46245</v>
      </c>
      <c r="C17" s="5">
        <v>550654403303</v>
      </c>
      <c r="D17" s="6" t="s">
        <v>138</v>
      </c>
      <c r="E17" s="8" t="s">
        <v>24</v>
      </c>
      <c r="F17" s="9" t="s">
        <v>153</v>
      </c>
      <c r="G17" s="6">
        <v>27</v>
      </c>
      <c r="H17" s="4">
        <v>1849</v>
      </c>
      <c r="I17" s="12">
        <v>37.799999999999997</v>
      </c>
      <c r="J17" s="8">
        <f t="shared" si="0"/>
        <v>1020.5999999999999</v>
      </c>
      <c r="K17" s="8">
        <v>0</v>
      </c>
      <c r="L17" s="8">
        <f t="shared" si="1"/>
        <v>1020.5999999999999</v>
      </c>
      <c r="M17" s="8" t="s">
        <v>13</v>
      </c>
      <c r="N17" s="8"/>
      <c r="O17" s="6" t="s">
        <v>166</v>
      </c>
      <c r="P17" s="6" t="s">
        <v>167</v>
      </c>
      <c r="Q17" s="7" t="s">
        <v>117</v>
      </c>
    </row>
    <row r="18" spans="1:17" ht="21" customHeight="1" x14ac:dyDescent="0.25">
      <c r="A18" s="7">
        <v>16</v>
      </c>
      <c r="B18" s="10">
        <v>46247</v>
      </c>
      <c r="C18" s="5" t="s">
        <v>135</v>
      </c>
      <c r="D18" s="6" t="s">
        <v>118</v>
      </c>
      <c r="E18" s="8" t="s">
        <v>27</v>
      </c>
      <c r="F18" s="9" t="s">
        <v>154</v>
      </c>
      <c r="G18" s="6">
        <v>1</v>
      </c>
      <c r="H18" s="4">
        <v>376</v>
      </c>
      <c r="I18" s="12">
        <v>16583.560000000001</v>
      </c>
      <c r="J18" s="8">
        <f t="shared" si="0"/>
        <v>16583.560000000001</v>
      </c>
      <c r="K18" s="8">
        <v>0</v>
      </c>
      <c r="L18" s="8">
        <f t="shared" si="1"/>
        <v>16583.560000000001</v>
      </c>
      <c r="M18" s="8" t="s">
        <v>10</v>
      </c>
      <c r="N18" s="8"/>
      <c r="O18" s="6" t="s">
        <v>9</v>
      </c>
      <c r="P18" s="6" t="s">
        <v>126</v>
      </c>
      <c r="Q18" s="7" t="s">
        <v>117</v>
      </c>
    </row>
    <row r="19" spans="1:17" ht="21" customHeight="1" x14ac:dyDescent="0.25">
      <c r="A19" s="7">
        <v>17</v>
      </c>
      <c r="B19" s="10">
        <v>46251</v>
      </c>
      <c r="C19" s="5" t="s">
        <v>121</v>
      </c>
      <c r="D19" s="6" t="s">
        <v>119</v>
      </c>
      <c r="E19" s="8" t="s">
        <v>18</v>
      </c>
      <c r="F19" s="9" t="s">
        <v>155</v>
      </c>
      <c r="G19" s="6">
        <v>1</v>
      </c>
      <c r="H19" s="4">
        <v>292</v>
      </c>
      <c r="I19" s="12">
        <v>20972.06</v>
      </c>
      <c r="J19" s="8">
        <f t="shared" si="0"/>
        <v>20972.06</v>
      </c>
      <c r="K19" s="8">
        <v>0</v>
      </c>
      <c r="L19" s="8">
        <f t="shared" si="1"/>
        <v>20972.06</v>
      </c>
      <c r="M19" s="8" t="s">
        <v>10</v>
      </c>
      <c r="N19" s="8"/>
      <c r="O19" s="6" t="s">
        <v>9</v>
      </c>
      <c r="P19" s="6" t="s">
        <v>128</v>
      </c>
      <c r="Q19" s="7" t="s">
        <v>117</v>
      </c>
    </row>
    <row r="20" spans="1:17" ht="21" customHeight="1" x14ac:dyDescent="0.25">
      <c r="A20" s="7">
        <v>18</v>
      </c>
      <c r="B20" s="10">
        <v>46253</v>
      </c>
      <c r="C20" s="5">
        <v>553031700114</v>
      </c>
      <c r="D20" s="6" t="s">
        <v>139</v>
      </c>
      <c r="E20" s="8" t="s">
        <v>58</v>
      </c>
      <c r="F20" s="9" t="s">
        <v>156</v>
      </c>
      <c r="G20" s="6">
        <v>3</v>
      </c>
      <c r="H20" s="4">
        <v>616</v>
      </c>
      <c r="I20" s="12">
        <v>2429.73</v>
      </c>
      <c r="J20" s="8">
        <f t="shared" si="0"/>
        <v>7289.1900000000005</v>
      </c>
      <c r="K20" s="8">
        <v>0</v>
      </c>
      <c r="L20" s="8">
        <f t="shared" si="1"/>
        <v>7289.1900000000005</v>
      </c>
      <c r="M20" s="8" t="s">
        <v>10</v>
      </c>
      <c r="N20" s="8"/>
      <c r="O20" s="6" t="s">
        <v>125</v>
      </c>
      <c r="P20" s="6" t="s">
        <v>125</v>
      </c>
      <c r="Q20" s="7" t="s">
        <v>117</v>
      </c>
    </row>
    <row r="21" spans="1:17" ht="21" customHeight="1" x14ac:dyDescent="0.25">
      <c r="A21" s="7">
        <v>19</v>
      </c>
      <c r="B21" s="10">
        <v>46254</v>
      </c>
      <c r="C21" s="5">
        <v>268088500248</v>
      </c>
      <c r="D21" s="6" t="s">
        <v>122</v>
      </c>
      <c r="E21" s="8" t="s">
        <v>48</v>
      </c>
      <c r="F21" s="9" t="s">
        <v>157</v>
      </c>
      <c r="G21" s="6">
        <v>2</v>
      </c>
      <c r="H21" s="4">
        <v>543</v>
      </c>
      <c r="I21" s="12">
        <v>548.88</v>
      </c>
      <c r="J21" s="8">
        <f t="shared" si="0"/>
        <v>1097.76</v>
      </c>
      <c r="K21" s="8">
        <v>0</v>
      </c>
      <c r="L21" s="8">
        <f t="shared" si="1"/>
        <v>1097.76</v>
      </c>
      <c r="M21" s="8" t="s">
        <v>10</v>
      </c>
      <c r="N21" s="8"/>
      <c r="O21" s="6" t="s">
        <v>9</v>
      </c>
      <c r="P21" s="6" t="s">
        <v>164</v>
      </c>
      <c r="Q21" s="7" t="s">
        <v>117</v>
      </c>
    </row>
    <row r="22" spans="1:17" ht="21" customHeight="1" x14ac:dyDescent="0.25">
      <c r="A22" s="7">
        <v>20</v>
      </c>
      <c r="B22" s="10">
        <v>46256</v>
      </c>
      <c r="C22" s="5">
        <v>553031700114</v>
      </c>
      <c r="D22" s="6" t="s">
        <v>139</v>
      </c>
      <c r="E22" s="8" t="s">
        <v>33</v>
      </c>
      <c r="F22" s="9" t="s">
        <v>158</v>
      </c>
      <c r="G22" s="6">
        <v>9</v>
      </c>
      <c r="H22" s="4">
        <v>616</v>
      </c>
      <c r="I22" s="12">
        <v>2429.73</v>
      </c>
      <c r="J22" s="8">
        <f>G22*I22</f>
        <v>21867.57</v>
      </c>
      <c r="K22" s="8">
        <v>0</v>
      </c>
      <c r="L22" s="8">
        <f t="shared" si="1"/>
        <v>21867.57</v>
      </c>
      <c r="M22" s="8" t="s">
        <v>10</v>
      </c>
      <c r="N22" s="8"/>
      <c r="O22" s="6" t="s">
        <v>125</v>
      </c>
      <c r="P22" s="6" t="s">
        <v>125</v>
      </c>
      <c r="Q22" s="7" t="s">
        <v>117</v>
      </c>
    </row>
    <row r="23" spans="1:17" ht="21" customHeight="1" x14ac:dyDescent="0.25">
      <c r="A23" s="7">
        <v>21</v>
      </c>
      <c r="B23" s="10">
        <v>46256</v>
      </c>
      <c r="C23" s="5" t="s">
        <v>120</v>
      </c>
      <c r="D23" s="6" t="s">
        <v>118</v>
      </c>
      <c r="E23" s="8" t="s">
        <v>69</v>
      </c>
      <c r="F23" s="9" t="s">
        <v>159</v>
      </c>
      <c r="G23" s="6">
        <v>6</v>
      </c>
      <c r="H23" s="4">
        <v>131</v>
      </c>
      <c r="I23" s="12">
        <v>14837.4</v>
      </c>
      <c r="J23" s="8">
        <f t="shared" si="0"/>
        <v>89024.4</v>
      </c>
      <c r="K23" s="8">
        <v>0</v>
      </c>
      <c r="L23" s="8">
        <f t="shared" si="1"/>
        <v>89024.4</v>
      </c>
      <c r="M23" s="8" t="s">
        <v>14</v>
      </c>
      <c r="N23" s="8"/>
      <c r="O23" s="6" t="s">
        <v>9</v>
      </c>
      <c r="P23" s="6" t="s">
        <v>127</v>
      </c>
      <c r="Q23" s="7" t="s">
        <v>117</v>
      </c>
    </row>
    <row r="24" spans="1:17" ht="21" customHeight="1" x14ac:dyDescent="0.25">
      <c r="A24" s="7">
        <v>22</v>
      </c>
      <c r="B24" s="10">
        <v>46259</v>
      </c>
      <c r="C24" s="5">
        <v>553031700114</v>
      </c>
      <c r="D24" s="6" t="s">
        <v>139</v>
      </c>
      <c r="E24" s="8" t="s">
        <v>33</v>
      </c>
      <c r="F24" s="9" t="s">
        <v>160</v>
      </c>
      <c r="G24" s="6">
        <v>3</v>
      </c>
      <c r="H24" s="4">
        <v>616</v>
      </c>
      <c r="I24" s="12">
        <v>2429.73</v>
      </c>
      <c r="J24" s="8">
        <f t="shared" si="0"/>
        <v>7289.1900000000005</v>
      </c>
      <c r="K24" s="8">
        <v>0</v>
      </c>
      <c r="L24" s="8">
        <f t="shared" si="1"/>
        <v>7289.1900000000005</v>
      </c>
      <c r="M24" s="8" t="s">
        <v>10</v>
      </c>
      <c r="N24" s="8"/>
      <c r="O24" s="6" t="s">
        <v>125</v>
      </c>
      <c r="P24" s="6" t="s">
        <v>125</v>
      </c>
      <c r="Q24" s="7" t="s">
        <v>117</v>
      </c>
    </row>
    <row r="25" spans="1:17" ht="21" customHeight="1" x14ac:dyDescent="0.25">
      <c r="A25" s="7">
        <v>23</v>
      </c>
      <c r="B25" s="10">
        <v>46261</v>
      </c>
      <c r="C25" s="5">
        <v>553031700114</v>
      </c>
      <c r="D25" s="6" t="s">
        <v>139</v>
      </c>
      <c r="E25" s="8" t="s">
        <v>33</v>
      </c>
      <c r="F25" s="9" t="s">
        <v>161</v>
      </c>
      <c r="G25" s="6">
        <v>3</v>
      </c>
      <c r="H25" s="4">
        <v>616</v>
      </c>
      <c r="I25" s="12">
        <v>2429.73</v>
      </c>
      <c r="J25" s="8">
        <f t="shared" si="0"/>
        <v>7289.1900000000005</v>
      </c>
      <c r="K25" s="8">
        <v>0</v>
      </c>
      <c r="L25" s="8">
        <f t="shared" si="1"/>
        <v>7289.1900000000005</v>
      </c>
      <c r="M25" s="8" t="s">
        <v>10</v>
      </c>
      <c r="N25" s="8"/>
      <c r="O25" s="6" t="s">
        <v>125</v>
      </c>
      <c r="P25" s="6" t="s">
        <v>125</v>
      </c>
      <c r="Q25" s="7" t="s">
        <v>117</v>
      </c>
    </row>
    <row r="26" spans="1:17" ht="21" customHeight="1" x14ac:dyDescent="0.25">
      <c r="A26" s="7">
        <v>24</v>
      </c>
      <c r="B26" s="10">
        <v>46261</v>
      </c>
      <c r="C26" s="5">
        <v>290058600102</v>
      </c>
      <c r="D26" s="6" t="s">
        <v>140</v>
      </c>
      <c r="E26" s="8" t="s">
        <v>57</v>
      </c>
      <c r="F26" s="9" t="s">
        <v>162</v>
      </c>
      <c r="G26" s="6">
        <v>1</v>
      </c>
      <c r="H26" s="4">
        <v>978</v>
      </c>
      <c r="I26" s="12">
        <v>157.55000000000001</v>
      </c>
      <c r="J26" s="8">
        <f t="shared" si="0"/>
        <v>157.55000000000001</v>
      </c>
      <c r="K26" s="8">
        <v>0</v>
      </c>
      <c r="L26" s="8">
        <f t="shared" si="1"/>
        <v>157.55000000000001</v>
      </c>
      <c r="M26" s="8" t="s">
        <v>10</v>
      </c>
      <c r="N26" s="8"/>
      <c r="O26" s="6" t="s">
        <v>9</v>
      </c>
      <c r="P26" s="6" t="s">
        <v>127</v>
      </c>
      <c r="Q26" s="7" t="s">
        <v>117</v>
      </c>
    </row>
    <row r="27" spans="1:17" ht="21" customHeight="1" x14ac:dyDescent="0.25">
      <c r="A27" s="7">
        <v>25</v>
      </c>
      <c r="B27" s="10">
        <v>46264</v>
      </c>
      <c r="C27" s="5" t="s">
        <v>121</v>
      </c>
      <c r="D27" s="6" t="s">
        <v>119</v>
      </c>
      <c r="E27" s="8" t="s">
        <v>114</v>
      </c>
      <c r="F27" s="9" t="s">
        <v>163</v>
      </c>
      <c r="G27" s="6">
        <v>1</v>
      </c>
      <c r="H27" s="4">
        <v>292</v>
      </c>
      <c r="I27" s="12">
        <v>20972.06</v>
      </c>
      <c r="J27" s="8">
        <f>G27*I27</f>
        <v>20972.06</v>
      </c>
      <c r="K27" s="8">
        <v>0</v>
      </c>
      <c r="L27" s="8">
        <f t="shared" si="1"/>
        <v>20972.06</v>
      </c>
      <c r="M27" s="8" t="s">
        <v>10</v>
      </c>
      <c r="N27" s="8"/>
      <c r="O27" s="6" t="s">
        <v>9</v>
      </c>
      <c r="P27" s="6" t="s">
        <v>128</v>
      </c>
      <c r="Q27" s="7" t="s">
        <v>117</v>
      </c>
    </row>
  </sheetData>
  <autoFilter ref="C1:C27" xr:uid="{00000000-0001-0000-0000-000000000000}"/>
  <mergeCells count="17">
    <mergeCell ref="N1:N2"/>
    <mergeCell ref="O1:O2"/>
    <mergeCell ref="P1:P2"/>
    <mergeCell ref="Q1:Q2"/>
    <mergeCell ref="J1:J2"/>
    <mergeCell ref="L1:L2"/>
    <mergeCell ref="K1:K2"/>
    <mergeCell ref="A1:A2"/>
    <mergeCell ref="B1:B2"/>
    <mergeCell ref="C1:C2"/>
    <mergeCell ref="D1:D2"/>
    <mergeCell ref="M1:M2"/>
    <mergeCell ref="E1:E2"/>
    <mergeCell ref="F1:F2"/>
    <mergeCell ref="G1:G2"/>
    <mergeCell ref="H1:H2"/>
    <mergeCell ref="I1:I2"/>
  </mergeCells>
  <phoneticPr fontId="4" type="noConversion"/>
  <pageMargins left="0.7" right="0.7" top="0.75" bottom="0.75" header="0.3" footer="0.3"/>
  <pageSetup scale="27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BC2D990-B6F1-4423-8DC8-786AC6F17296}">
          <x14:formula1>
            <xm:f>Defects!$C:$C</xm:f>
          </x14:formula1>
          <xm:sqref>E3:E27</xm:sqref>
        </x14:dataValidation>
        <x14:dataValidation type="list" allowBlank="1" showInputMessage="1" showErrorMessage="1" xr:uid="{E0B3BF4B-6BBD-4C24-A611-67DE163B3152}">
          <x14:formula1>
            <xm:f>Process!$C:$C</xm:f>
          </x14:formula1>
          <xm:sqref>M3:M27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8BCB-247A-43B9-A645-693EACA6AA43}">
  <dimension ref="A1:C95"/>
  <sheetViews>
    <sheetView workbookViewId="0">
      <selection activeCell="C1" sqref="C1"/>
    </sheetView>
  </sheetViews>
  <sheetFormatPr defaultRowHeight="15" x14ac:dyDescent="0.25"/>
  <cols>
    <col min="1" max="1" width="36.28515625" bestFit="1" customWidth="1"/>
    <col min="3" max="3" width="30.28515625" bestFit="1" customWidth="1"/>
  </cols>
  <sheetData>
    <row r="1" spans="1:3" x14ac:dyDescent="0.25">
      <c r="A1" s="1" t="s">
        <v>16</v>
      </c>
      <c r="C1" t="str" cm="1">
        <f t="array" ref="C1:C93">_xlfn._xlws.SORT(_xlfn._xlws.FILTER(A:A, A:A&lt;&gt;""),1,1)</f>
        <v>Adhesion Fail</v>
      </c>
    </row>
    <row r="2" spans="1:3" x14ac:dyDescent="0.25">
      <c r="A2" s="1" t="s">
        <v>17</v>
      </c>
      <c r="C2" t="str">
        <v>Angle Not OK</v>
      </c>
    </row>
    <row r="3" spans="1:3" x14ac:dyDescent="0.25">
      <c r="A3" s="1" t="s">
        <v>18</v>
      </c>
      <c r="C3" t="str">
        <v>Bkt missing</v>
      </c>
    </row>
    <row r="4" spans="1:3" x14ac:dyDescent="0.25">
      <c r="A4" s="1" t="s">
        <v>19</v>
      </c>
      <c r="C4" t="str">
        <v>Blank Burr</v>
      </c>
    </row>
    <row r="5" spans="1:3" x14ac:dyDescent="0.25">
      <c r="A5" s="1" t="s">
        <v>20</v>
      </c>
      <c r="C5" t="str">
        <v>Blank Cut</v>
      </c>
    </row>
    <row r="6" spans="1:3" x14ac:dyDescent="0.25">
      <c r="A6" s="1" t="s">
        <v>21</v>
      </c>
      <c r="C6" t="str">
        <v>Blistering</v>
      </c>
    </row>
    <row r="7" spans="1:3" x14ac:dyDescent="0.25">
      <c r="A7" s="1" t="s">
        <v>22</v>
      </c>
      <c r="C7" t="str">
        <v>Blow Hole</v>
      </c>
    </row>
    <row r="8" spans="1:3" x14ac:dyDescent="0.25">
      <c r="A8" s="1" t="s">
        <v>23</v>
      </c>
      <c r="C8" t="str">
        <v>Bubble mark</v>
      </c>
    </row>
    <row r="9" spans="1:3" x14ac:dyDescent="0.25">
      <c r="A9" s="1" t="s">
        <v>24</v>
      </c>
      <c r="C9" t="str">
        <v>Burr</v>
      </c>
    </row>
    <row r="10" spans="1:3" x14ac:dyDescent="0.25">
      <c r="A10" s="1" t="s">
        <v>25</v>
      </c>
      <c r="C10" t="str">
        <v>Coating Damage</v>
      </c>
    </row>
    <row r="11" spans="1:3" x14ac:dyDescent="0.25">
      <c r="A11" s="1" t="s">
        <v>26</v>
      </c>
      <c r="C11" t="str">
        <v>Corner Cut</v>
      </c>
    </row>
    <row r="12" spans="1:3" x14ac:dyDescent="0.25">
      <c r="A12" s="1" t="s">
        <v>27</v>
      </c>
      <c r="C12" t="str">
        <v>Crack</v>
      </c>
    </row>
    <row r="13" spans="1:3" x14ac:dyDescent="0.25">
      <c r="A13" s="1" t="s">
        <v>28</v>
      </c>
      <c r="C13" t="str">
        <v>Crater Pipe</v>
      </c>
    </row>
    <row r="14" spans="1:3" x14ac:dyDescent="0.25">
      <c r="A14" s="1" t="s">
        <v>29</v>
      </c>
      <c r="C14" t="str">
        <v>Deep Spot</v>
      </c>
    </row>
    <row r="15" spans="1:3" x14ac:dyDescent="0.25">
      <c r="A15" s="1" t="s">
        <v>30</v>
      </c>
      <c r="C15" t="str">
        <v>Defective loose parts </v>
      </c>
    </row>
    <row r="16" spans="1:3" x14ac:dyDescent="0.25">
      <c r="A16" s="1" t="s">
        <v>31</v>
      </c>
      <c r="C16" t="str">
        <v xml:space="preserve">Dent </v>
      </c>
    </row>
    <row r="17" spans="1:3" x14ac:dyDescent="0.25">
      <c r="A17" s="1" t="s">
        <v>32</v>
      </c>
      <c r="C17" t="str">
        <v>Development Rejection </v>
      </c>
    </row>
    <row r="18" spans="1:3" x14ac:dyDescent="0.25">
      <c r="A18" s="1" t="s">
        <v>33</v>
      </c>
      <c r="C18" t="str">
        <v>Dimension not ok</v>
      </c>
    </row>
    <row r="19" spans="1:3" x14ac:dyDescent="0.25">
      <c r="A19" s="1" t="s">
        <v>34</v>
      </c>
      <c r="C19" t="str">
        <v>Excess Back Penetration</v>
      </c>
    </row>
    <row r="20" spans="1:3" x14ac:dyDescent="0.25">
      <c r="A20" s="1" t="s">
        <v>35</v>
      </c>
      <c r="C20" t="str">
        <v xml:space="preserve">Excess powder </v>
      </c>
    </row>
    <row r="21" spans="1:3" x14ac:dyDescent="0.25">
      <c r="A21" s="1" t="s">
        <v>36</v>
      </c>
      <c r="C21" t="str">
        <v xml:space="preserve">Fitment Issue    </v>
      </c>
    </row>
    <row r="22" spans="1:3" x14ac:dyDescent="0.25">
      <c r="A22" s="1" t="s">
        <v>37</v>
      </c>
      <c r="C22" t="str">
        <v>Forming shift</v>
      </c>
    </row>
    <row r="23" spans="1:3" x14ac:dyDescent="0.25">
      <c r="A23" s="1" t="s">
        <v>38</v>
      </c>
      <c r="C23" t="str">
        <v>Forming Taper/coller open</v>
      </c>
    </row>
    <row r="24" spans="1:3" x14ac:dyDescent="0.25">
      <c r="A24" s="1" t="s">
        <v>39</v>
      </c>
      <c r="C24" t="str">
        <v xml:space="preserve">Fouling Issue  </v>
      </c>
    </row>
    <row r="25" spans="1:3" x14ac:dyDescent="0.25">
      <c r="A25" s="1" t="s">
        <v>40</v>
      </c>
      <c r="C25" t="str">
        <v>Hole burr</v>
      </c>
    </row>
    <row r="26" spans="1:3" x14ac:dyDescent="0.25">
      <c r="A26" s="1" t="s">
        <v>41</v>
      </c>
      <c r="C26" t="str">
        <v>Hole Concentricity</v>
      </c>
    </row>
    <row r="27" spans="1:3" x14ac:dyDescent="0.25">
      <c r="A27" s="1" t="s">
        <v>115</v>
      </c>
      <c r="C27" t="str">
        <v>Hole issue</v>
      </c>
    </row>
    <row r="28" spans="1:3" x14ac:dyDescent="0.25">
      <c r="A28" s="1" t="s">
        <v>42</v>
      </c>
      <c r="C28" t="str">
        <v xml:space="preserve">Hole Mismatch </v>
      </c>
    </row>
    <row r="29" spans="1:3" x14ac:dyDescent="0.25">
      <c r="A29" s="1" t="s">
        <v>43</v>
      </c>
      <c r="C29" t="str">
        <v>Hole missing</v>
      </c>
    </row>
    <row r="30" spans="1:3" x14ac:dyDescent="0.25">
      <c r="A30" s="1" t="s">
        <v>44</v>
      </c>
      <c r="C30" t="str">
        <v>Hole Oblong</v>
      </c>
    </row>
    <row r="31" spans="1:3" x14ac:dyDescent="0.25">
      <c r="A31" s="1" t="s">
        <v>45</v>
      </c>
      <c r="C31" t="str">
        <v>Hole Oversize</v>
      </c>
    </row>
    <row r="32" spans="1:3" x14ac:dyDescent="0.25">
      <c r="A32" s="1" t="s">
        <v>46</v>
      </c>
      <c r="C32" t="str">
        <v>Hole pull up/Oblong</v>
      </c>
    </row>
    <row r="33" spans="1:3" x14ac:dyDescent="0.25">
      <c r="A33" s="1" t="s">
        <v>47</v>
      </c>
      <c r="C33" t="str">
        <v>Hole shift</v>
      </c>
    </row>
    <row r="34" spans="1:3" x14ac:dyDescent="0.25">
      <c r="A34" s="1" t="s">
        <v>48</v>
      </c>
      <c r="C34" t="str">
        <v>Hole Undersize</v>
      </c>
    </row>
    <row r="35" spans="1:3" x14ac:dyDescent="0.25">
      <c r="A35" s="1" t="s">
        <v>49</v>
      </c>
      <c r="C35" t="str">
        <v>Hook Mark</v>
      </c>
    </row>
    <row r="36" spans="1:3" x14ac:dyDescent="0.25">
      <c r="A36" s="1" t="s">
        <v>50</v>
      </c>
      <c r="C36" t="str">
        <v>Incomplete Joint</v>
      </c>
    </row>
    <row r="37" spans="1:3" x14ac:dyDescent="0.25">
      <c r="A37" s="1" t="s">
        <v>51</v>
      </c>
      <c r="C37" t="str">
        <v>Lack Of Fusion</v>
      </c>
    </row>
    <row r="38" spans="1:3" x14ac:dyDescent="0.25">
      <c r="A38" s="1" t="s">
        <v>52</v>
      </c>
      <c r="C38" t="str">
        <v xml:space="preserve">Logistic Damage          </v>
      </c>
    </row>
    <row r="39" spans="1:3" x14ac:dyDescent="0.25">
      <c r="A39" s="1" t="s">
        <v>53</v>
      </c>
      <c r="C39" t="str">
        <v>Logistic not as per requirement</v>
      </c>
    </row>
    <row r="40" spans="1:3" x14ac:dyDescent="0.25">
      <c r="A40" s="1" t="s">
        <v>54</v>
      </c>
      <c r="C40" t="str">
        <v>Low DFT</v>
      </c>
    </row>
    <row r="41" spans="1:3" x14ac:dyDescent="0.25">
      <c r="A41" s="1" t="s">
        <v>55</v>
      </c>
      <c r="C41" t="str">
        <v>Machining burr</v>
      </c>
    </row>
    <row r="42" spans="1:3" x14ac:dyDescent="0.25">
      <c r="A42" s="1" t="s">
        <v>56</v>
      </c>
      <c r="C42" t="str">
        <v>Material fold</v>
      </c>
    </row>
    <row r="43" spans="1:3" x14ac:dyDescent="0.25">
      <c r="A43" s="1" t="s">
        <v>57</v>
      </c>
      <c r="C43" t="str">
        <v>Nut missing</v>
      </c>
    </row>
    <row r="44" spans="1:3" x14ac:dyDescent="0.25">
      <c r="A44" s="1" t="s">
        <v>58</v>
      </c>
      <c r="C44" t="str">
        <v>Nut shift/Offset</v>
      </c>
    </row>
    <row r="45" spans="1:3" x14ac:dyDescent="0.25">
      <c r="A45" s="1" t="s">
        <v>59</v>
      </c>
      <c r="C45" t="str">
        <v>Operation Missing</v>
      </c>
    </row>
    <row r="46" spans="1:3" x14ac:dyDescent="0.25">
      <c r="A46" s="1" t="s">
        <v>114</v>
      </c>
      <c r="C46" t="str">
        <v>Other</v>
      </c>
    </row>
    <row r="47" spans="1:3" x14ac:dyDescent="0.25">
      <c r="A47" s="1" t="s">
        <v>60</v>
      </c>
      <c r="C47" t="str">
        <v>Paint damage</v>
      </c>
    </row>
    <row r="48" spans="1:3" x14ac:dyDescent="0.25">
      <c r="A48" s="1" t="s">
        <v>61</v>
      </c>
      <c r="C48" t="str">
        <v>Part wrong/Taper</v>
      </c>
    </row>
    <row r="49" spans="1:3" x14ac:dyDescent="0.25">
      <c r="A49" s="1" t="s">
        <v>62</v>
      </c>
      <c r="C49" t="str">
        <v>Peeling</v>
      </c>
    </row>
    <row r="50" spans="1:3" x14ac:dyDescent="0.25">
      <c r="A50" s="1" t="s">
        <v>63</v>
      </c>
      <c r="C50" t="str">
        <v>Pin Holes</v>
      </c>
    </row>
    <row r="51" spans="1:3" x14ac:dyDescent="0.25">
      <c r="A51" s="1" t="s">
        <v>64</v>
      </c>
      <c r="C51" t="str">
        <v>plating low</v>
      </c>
    </row>
    <row r="52" spans="1:3" x14ac:dyDescent="0.25">
      <c r="A52" s="1" t="s">
        <v>65</v>
      </c>
      <c r="C52" t="str">
        <v>Poor Welding</v>
      </c>
    </row>
    <row r="53" spans="1:3" x14ac:dyDescent="0.25">
      <c r="A53" s="1" t="s">
        <v>66</v>
      </c>
      <c r="C53" t="str">
        <v>Porosity</v>
      </c>
    </row>
    <row r="54" spans="1:3" x14ac:dyDescent="0.25">
      <c r="A54" s="1" t="s">
        <v>67</v>
      </c>
      <c r="C54" t="str">
        <v>Retainer gap</v>
      </c>
    </row>
    <row r="55" spans="1:3" x14ac:dyDescent="0.25">
      <c r="A55" s="1" t="s">
        <v>68</v>
      </c>
      <c r="C55" t="str">
        <v xml:space="preserve">RUPD Strip Direction Wrong          </v>
      </c>
    </row>
    <row r="56" spans="1:3" x14ac:dyDescent="0.25">
      <c r="A56" s="1" t="s">
        <v>69</v>
      </c>
      <c r="C56" t="str">
        <v>Rusty</v>
      </c>
    </row>
    <row r="57" spans="1:3" x14ac:dyDescent="0.25">
      <c r="A57" s="1" t="s">
        <v>70</v>
      </c>
      <c r="C57" t="str">
        <v>Scoring</v>
      </c>
    </row>
    <row r="58" spans="1:3" x14ac:dyDescent="0.25">
      <c r="A58" s="1" t="s">
        <v>71</v>
      </c>
      <c r="C58" t="str">
        <v>Scratch mark</v>
      </c>
    </row>
    <row r="59" spans="1:3" x14ac:dyDescent="0.25">
      <c r="A59" s="1" t="s">
        <v>72</v>
      </c>
      <c r="C59" t="str">
        <v>Shabby welding</v>
      </c>
    </row>
    <row r="60" spans="1:3" x14ac:dyDescent="0.25">
      <c r="A60" s="1" t="s">
        <v>73</v>
      </c>
      <c r="C60" t="str">
        <v>Shearing size oversize</v>
      </c>
    </row>
    <row r="61" spans="1:3" x14ac:dyDescent="0.25">
      <c r="A61" s="1" t="s">
        <v>74</v>
      </c>
      <c r="C61" t="str">
        <v>Shearing size undersize</v>
      </c>
    </row>
    <row r="62" spans="1:3" x14ac:dyDescent="0.25">
      <c r="A62" s="1" t="s">
        <v>75</v>
      </c>
      <c r="C62" t="str">
        <v>Slot Missing</v>
      </c>
    </row>
    <row r="63" spans="1:3" x14ac:dyDescent="0.25">
      <c r="A63" s="1" t="s">
        <v>76</v>
      </c>
      <c r="C63" t="str">
        <v>Spot burr</v>
      </c>
    </row>
    <row r="64" spans="1:3" x14ac:dyDescent="0.25">
      <c r="A64" s="1" t="s">
        <v>77</v>
      </c>
      <c r="C64" t="str">
        <v>Spot missing</v>
      </c>
    </row>
    <row r="65" spans="1:3" x14ac:dyDescent="0.25">
      <c r="A65" s="1" t="s">
        <v>78</v>
      </c>
      <c r="C65" t="str">
        <v>Spot Open</v>
      </c>
    </row>
    <row r="66" spans="1:3" x14ac:dyDescent="0.25">
      <c r="A66" s="1" t="s">
        <v>79</v>
      </c>
      <c r="C66" t="str">
        <v>Step Marks In Hole</v>
      </c>
    </row>
    <row r="67" spans="1:3" x14ac:dyDescent="0.25">
      <c r="A67" s="1" t="s">
        <v>80</v>
      </c>
      <c r="C67" t="str">
        <v>Stud missing</v>
      </c>
    </row>
    <row r="68" spans="1:3" x14ac:dyDescent="0.25">
      <c r="A68" s="1" t="s">
        <v>81</v>
      </c>
      <c r="C68" t="str">
        <v>Surface roughness</v>
      </c>
    </row>
    <row r="69" spans="1:3" x14ac:dyDescent="0.25">
      <c r="A69" s="1" t="s">
        <v>82</v>
      </c>
      <c r="C69" t="str">
        <v>Taper Nut</v>
      </c>
    </row>
    <row r="70" spans="1:3" x14ac:dyDescent="0.25">
      <c r="A70" s="1" t="s">
        <v>83</v>
      </c>
      <c r="C70" t="str">
        <v>Tapping Not ok</v>
      </c>
    </row>
    <row r="71" spans="1:3" x14ac:dyDescent="0.25">
      <c r="A71" s="1" t="s">
        <v>84</v>
      </c>
      <c r="C71" t="str">
        <v>Thinning</v>
      </c>
    </row>
    <row r="72" spans="1:3" x14ac:dyDescent="0.25">
      <c r="A72" s="1" t="s">
        <v>85</v>
      </c>
      <c r="C72" t="str">
        <v>Thread damage</v>
      </c>
    </row>
    <row r="73" spans="1:3" x14ac:dyDescent="0.25">
      <c r="A73" s="1" t="s">
        <v>86</v>
      </c>
      <c r="C73" t="str">
        <v>Thread missing</v>
      </c>
    </row>
    <row r="74" spans="1:3" x14ac:dyDescent="0.25">
      <c r="A74" s="1" t="s">
        <v>87</v>
      </c>
      <c r="C74" t="str">
        <v>Trolley wheel jam</v>
      </c>
    </row>
    <row r="75" spans="1:3" x14ac:dyDescent="0.25">
      <c r="A75" s="1" t="s">
        <v>88</v>
      </c>
      <c r="C75" t="str">
        <v>Uncover coating</v>
      </c>
    </row>
    <row r="76" spans="1:3" x14ac:dyDescent="0.25">
      <c r="A76" s="1" t="s">
        <v>89</v>
      </c>
      <c r="C76" t="str">
        <v>Wall Thickness Oversize</v>
      </c>
    </row>
    <row r="77" spans="1:3" x14ac:dyDescent="0.25">
      <c r="A77" s="1" t="s">
        <v>90</v>
      </c>
      <c r="C77" t="str">
        <v>Wall Thickness Undersize</v>
      </c>
    </row>
    <row r="78" spans="1:3" x14ac:dyDescent="0.25">
      <c r="A78" s="1" t="s">
        <v>91</v>
      </c>
      <c r="C78" t="str">
        <v>Weaviness</v>
      </c>
    </row>
    <row r="79" spans="1:3" x14ac:dyDescent="0.25">
      <c r="A79" s="1" t="s">
        <v>92</v>
      </c>
      <c r="C79" t="str">
        <v>Weld Burn</v>
      </c>
    </row>
    <row r="80" spans="1:3" x14ac:dyDescent="0.25">
      <c r="A80" s="1" t="s">
        <v>93</v>
      </c>
      <c r="C80" t="str">
        <v>Welding missing</v>
      </c>
    </row>
    <row r="81" spans="1:3" x14ac:dyDescent="0.25">
      <c r="A81" s="1" t="s">
        <v>94</v>
      </c>
      <c r="C81" t="str">
        <v>Welding Overlapp</v>
      </c>
    </row>
    <row r="82" spans="1:3" x14ac:dyDescent="0.25">
      <c r="A82" s="1" t="s">
        <v>95</v>
      </c>
      <c r="C82" t="str">
        <v>Welding spatter</v>
      </c>
    </row>
    <row r="83" spans="1:3" x14ac:dyDescent="0.25">
      <c r="A83" s="1" t="s">
        <v>96</v>
      </c>
      <c r="C83" t="str">
        <v>Welding Undercut</v>
      </c>
    </row>
    <row r="84" spans="1:3" x14ac:dyDescent="0.25">
      <c r="A84" s="1" t="s">
        <v>97</v>
      </c>
      <c r="C84" t="str">
        <v xml:space="preserve">Wire Rope Cut    </v>
      </c>
    </row>
    <row r="85" spans="1:3" x14ac:dyDescent="0.25">
      <c r="A85" s="1" t="s">
        <v>98</v>
      </c>
      <c r="C85" t="str">
        <v>Wrinkle</v>
      </c>
    </row>
    <row r="86" spans="1:3" x14ac:dyDescent="0.25">
      <c r="A86" s="1" t="s">
        <v>99</v>
      </c>
      <c r="C86" t="str">
        <v>Wrong Challan</v>
      </c>
    </row>
    <row r="87" spans="1:3" x14ac:dyDescent="0.25">
      <c r="A87" s="1" t="s">
        <v>100</v>
      </c>
      <c r="C87" t="str">
        <v>Wrong forming</v>
      </c>
    </row>
    <row r="88" spans="1:3" x14ac:dyDescent="0.25">
      <c r="A88" s="1" t="s">
        <v>101</v>
      </c>
      <c r="C88" t="str">
        <v>Wrong Material </v>
      </c>
    </row>
    <row r="89" spans="1:3" x14ac:dyDescent="0.25">
      <c r="A89" s="1" t="s">
        <v>102</v>
      </c>
      <c r="C89" t="str">
        <v>Wrong part packing</v>
      </c>
    </row>
    <row r="90" spans="1:3" x14ac:dyDescent="0.25">
      <c r="A90" s="1" t="s">
        <v>103</v>
      </c>
      <c r="C90" t="str">
        <v>Wrong screening</v>
      </c>
    </row>
    <row r="91" spans="1:3" x14ac:dyDescent="0.25">
      <c r="A91" s="1" t="s">
        <v>104</v>
      </c>
      <c r="C91" t="str">
        <v>Wrong sticker</v>
      </c>
    </row>
    <row r="92" spans="1:3" x14ac:dyDescent="0.25">
      <c r="A92" s="1" t="s">
        <v>105</v>
      </c>
      <c r="C92" t="str">
        <v>Wrong thickness</v>
      </c>
    </row>
    <row r="93" spans="1:3" x14ac:dyDescent="0.25">
      <c r="A93" s="2" t="s">
        <v>106</v>
      </c>
      <c r="C93" t="str">
        <v>Wrong weld nut</v>
      </c>
    </row>
    <row r="94" spans="1:3" x14ac:dyDescent="0.25">
      <c r="A94" s="2"/>
    </row>
    <row r="95" spans="1:3" x14ac:dyDescent="0.25">
      <c r="A95" s="2"/>
    </row>
  </sheetData>
  <sortState xmlns:xlrd2="http://schemas.microsoft.com/office/spreadsheetml/2017/richdata2" ref="A1:A93">
    <sortCondition ref="A71:A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9EEA-9B35-4559-9FFC-4AAAA5BA19D8}">
  <dimension ref="A1:C8"/>
  <sheetViews>
    <sheetView workbookViewId="0">
      <selection activeCell="C1" sqref="C1"/>
    </sheetView>
  </sheetViews>
  <sheetFormatPr defaultRowHeight="15" x14ac:dyDescent="0.25"/>
  <cols>
    <col min="1" max="1" width="19.5703125" bestFit="1" customWidth="1"/>
    <col min="3" max="3" width="17.5703125" bestFit="1" customWidth="1"/>
  </cols>
  <sheetData>
    <row r="1" spans="1:3" x14ac:dyDescent="0.25">
      <c r="A1" s="3" t="s">
        <v>10</v>
      </c>
      <c r="C1" t="str" cm="1">
        <f t="array" ref="C1:C7">_xlfn._xlws.SORT(_xlfn._xlws.FILTER(A:A,A:A&lt;&gt;""),1,1)</f>
        <v>Assembly</v>
      </c>
    </row>
    <row r="2" spans="1:3" x14ac:dyDescent="0.25">
      <c r="A2" s="3" t="s">
        <v>11</v>
      </c>
      <c r="C2" t="str">
        <v>Logistics</v>
      </c>
    </row>
    <row r="3" spans="1:3" x14ac:dyDescent="0.25">
      <c r="A3" s="3" t="s">
        <v>12</v>
      </c>
      <c r="C3" t="str">
        <v>Machining</v>
      </c>
    </row>
    <row r="4" spans="1:3" x14ac:dyDescent="0.25">
      <c r="A4" s="3" t="s">
        <v>114</v>
      </c>
      <c r="C4" t="str">
        <v>Other</v>
      </c>
    </row>
    <row r="5" spans="1:3" x14ac:dyDescent="0.25">
      <c r="A5" s="3" t="s">
        <v>13</v>
      </c>
      <c r="C5" t="str">
        <v>Pressing</v>
      </c>
    </row>
    <row r="6" spans="1:3" x14ac:dyDescent="0.25">
      <c r="A6" s="3" t="s">
        <v>14</v>
      </c>
      <c r="C6" t="str">
        <v>Surface protection</v>
      </c>
    </row>
    <row r="7" spans="1:3" x14ac:dyDescent="0.25">
      <c r="A7" s="3" t="s">
        <v>15</v>
      </c>
      <c r="C7" t="str">
        <v>Welding</v>
      </c>
    </row>
    <row r="8" spans="1:3" x14ac:dyDescent="0.25">
      <c r="A8" s="3"/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Aug'26</vt:lpstr>
      <vt:lpstr>Defects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Ankit Kumar</cp:lastModifiedBy>
  <cp:lastPrinted>2026-06-10T06:04:40Z</cp:lastPrinted>
  <dcterms:created xsi:type="dcterms:W3CDTF">2015-06-05T18:17:20Z</dcterms:created>
  <dcterms:modified xsi:type="dcterms:W3CDTF">2026-09-06T09:14:01Z</dcterms:modified>
</cp:coreProperties>
</file>